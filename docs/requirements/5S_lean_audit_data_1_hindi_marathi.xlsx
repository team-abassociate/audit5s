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828" firstSheet="0" activeTab="5" autoFilterDateGrouping="1"/>
  </bookViews>
  <sheets>
    <sheet name="5S Audit Team" sheetId="1" state="visible" r:id="rId1"/>
    <sheet name="Audit Schedule" sheetId="2" state="visible" r:id="rId2"/>
    <sheet name="Monthly Zone Scores" sheetId="3" state="visible" r:id="rId3"/>
    <sheet name="Shop Floor" sheetId="4" state="visible" r:id="rId4"/>
    <sheet name="Office" sheetId="5" state="visible" r:id="rId5"/>
    <sheet name="Stores (RM)" sheetId="6" state="visible" r:id="rId6"/>
    <sheet name="Production" sheetId="7" state="visible" r:id="rId7"/>
    <sheet name="FG Stores" sheetId="8" state="visible" r:id="rId8"/>
    <sheet name="Packing Area" sheetId="9" state="visible" r:id="rId9"/>
    <sheet name="Boiler &amp; Utility" sheetId="10" state="visible" r:id="rId10"/>
    <sheet name="Maintenance" sheetId="11" state="visible" r:id="rId11"/>
    <sheet name="Premises" sheetId="12" state="visible" r:id="rId12"/>
  </sheets>
  <definedNames>
    <definedName name="_xlnm.Print_Area" localSheetId="3">'Shop Floor'!$A$1:$E$73</definedName>
    <definedName name="_xlnm.Print_Area" localSheetId="4">'Office'!$A$1:$E$73</definedName>
    <definedName name="_xlnm.Print_Area" localSheetId="5">'Stores (RM)'!$A$1:$E$73</definedName>
    <definedName name="_xlnm.Print_Area" localSheetId="6">'Production'!$A$1:$E$73</definedName>
    <definedName name="_xlnm.Print_Area" localSheetId="7">'FG Stores'!$A$1:$E$73</definedName>
    <definedName name="_xlnm.Print_Area" localSheetId="8">'Packing Area'!$A$1:$E$73</definedName>
    <definedName name="_xlnm.Print_Area" localSheetId="9">'Boiler &amp; Utility'!$A$1:$E$73</definedName>
    <definedName name="_xlnm.Print_Area" localSheetId="10">'Maintenance'!$A$1:$E$73</definedName>
    <definedName name="_xlnm.Print_Area" localSheetId="11">'Premises'!$A$1:$E$73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2"/>
      <b val="1"/>
      <color rgb="FFFFFFFF"/>
      <sz val="14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0"/>
    </font>
    <font>
      <name val="Arial"/>
      <family val="2"/>
      <color rgb="FF000000"/>
      <sz val="10"/>
    </font>
    <font>
      <name val="Arial"/>
      <family val="2"/>
      <color rgb="FF444444"/>
      <sz val="9"/>
    </font>
    <font>
      <name val="Arial"/>
      <family val="2"/>
      <b val="1"/>
      <color rgb="FF000000"/>
      <sz val="10"/>
    </font>
    <font>
      <name val="Arial"/>
      <family val="2"/>
      <b val="1"/>
      <color rgb="FF1F3864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444444"/>
      <sz val="9"/>
    </font>
    <font>
      <name val="Calibri"/>
      <family val="2"/>
      <i val="1"/>
      <color theme="0" tint="-0.499984740745262"/>
      <sz val="11"/>
    </font>
    <font>
      <name val="Nirmala UI"/>
      <sz val="10"/>
    </font>
  </fonts>
  <fills count="7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D9D9D9"/>
        <bgColor rgb="FFE2EFDA"/>
      </patternFill>
    </fill>
  </fills>
  <borders count="1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4" borderId="1" pivotButton="0" quotePrefix="0" xfId="0"/>
    <xf numFmtId="0" fontId="6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8" fillId="2" borderId="1" applyAlignment="1" pivotButton="0" quotePrefix="0" xfId="0">
      <alignment horizontal="center" vertical="center"/>
    </xf>
    <xf numFmtId="9" fontId="6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6" fillId="0" borderId="1" applyAlignment="1" pivotButton="0" quotePrefix="0" xfId="0">
      <alignment horizontal="left" vertical="center"/>
    </xf>
    <xf numFmtId="0" fontId="10" fillId="0" borderId="0" pivotButton="0" quotePrefix="0" xfId="0"/>
    <xf numFmtId="0" fontId="6" fillId="0" borderId="4" pivotButton="0" quotePrefix="0" xfId="0"/>
    <xf numFmtId="0" fontId="4" fillId="4" borderId="4" pivotButton="0" quotePrefix="0" xfId="0"/>
    <xf numFmtId="0" fontId="6" fillId="0" borderId="4" applyAlignment="1" pivotButton="0" quotePrefix="0" xfId="0">
      <alignment vertical="top" wrapText="1"/>
    </xf>
    <xf numFmtId="0" fontId="6" fillId="0" borderId="4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9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5" fillId="0" borderId="0" pivotButton="0" quotePrefix="0" xfId="0"/>
    <xf numFmtId="0" fontId="7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vertical="center" wrapText="1"/>
    </xf>
    <xf numFmtId="0" fontId="5" fillId="0" borderId="4" applyAlignment="1" pivotButton="0" quotePrefix="0" xfId="0">
      <alignment vertical="center" wrapText="1"/>
    </xf>
    <xf numFmtId="0" fontId="0" fillId="0" borderId="3" pivotButton="0" quotePrefix="0" xfId="0"/>
    <xf numFmtId="0" fontId="0" fillId="0" borderId="7" pivotButton="0" quotePrefix="0" xfId="0"/>
    <xf numFmtId="0" fontId="11" fillId="4" borderId="1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zoomScaleNormal="100" workbookViewId="0">
      <selection activeCell="A1" sqref="A1:F1"/>
    </sheetView>
  </sheetViews>
  <sheetFormatPr baseColWidth="8" defaultColWidth="8.5703125" defaultRowHeight="15"/>
  <cols>
    <col width="6" customWidth="1" min="1" max="1"/>
    <col width="22" customWidth="1" min="2" max="2"/>
    <col width="26" customWidth="1" min="3" max="3"/>
    <col width="20" customWidth="1" min="4" max="5"/>
    <col width="34" customWidth="1" min="6" max="6"/>
  </cols>
  <sheetData>
    <row r="1" ht="25.5" customHeight="1">
      <c r="A1" s="29" t="inlineStr">
        <is>
          <t>5S AUDIT TEAM &amp; STEERING COMMITTEE</t>
        </is>
      </c>
    </row>
    <row r="3">
      <c r="A3" s="30" t="inlineStr">
        <is>
          <t>A. 5S STEERING COMMITTEE</t>
        </is>
      </c>
    </row>
    <row r="4">
      <c r="A4" s="1" t="inlineStr">
        <is>
          <t>Sr.</t>
        </is>
      </c>
      <c r="B4" s="1" t="inlineStr">
        <is>
          <t>Role</t>
        </is>
      </c>
      <c r="C4" s="1" t="inlineStr">
        <is>
          <t>Name</t>
        </is>
      </c>
      <c r="D4" s="1" t="inlineStr">
        <is>
          <t>Department</t>
        </is>
      </c>
      <c r="E4" s="1" t="inlineStr">
        <is>
          <t>Designation</t>
        </is>
      </c>
      <c r="F4" s="1" t="inlineStr">
        <is>
          <t>Responsibility</t>
        </is>
      </c>
    </row>
    <row r="5" ht="25.5" customHeight="1">
      <c r="A5" s="2" t="n">
        <v>1</v>
      </c>
      <c r="B5" s="3" t="inlineStr">
        <is>
          <t>Chairman (Plant Head)</t>
        </is>
      </c>
      <c r="C5" s="4" t="n"/>
      <c r="D5" s="4" t="n"/>
      <c r="E5" s="4" t="n"/>
      <c r="F5" s="5" t="inlineStr">
        <is>
          <t>Overall 5S direction, monthly review, resource approval</t>
        </is>
      </c>
    </row>
    <row r="6" ht="25.5" customHeight="1">
      <c r="A6" s="2" t="n">
        <v>2</v>
      </c>
      <c r="B6" s="3" t="inlineStr">
        <is>
          <t>5S Coordinator</t>
        </is>
      </c>
      <c r="C6" s="4" t="n"/>
      <c r="D6" s="4" t="n"/>
      <c r="E6" s="4" t="n"/>
      <c r="F6" s="5" t="inlineStr">
        <is>
          <t>Audit planning, score consolidation, training, 5S board updates</t>
        </is>
      </c>
    </row>
    <row r="7" ht="25.5" customHeight="1">
      <c r="A7" s="2" t="n">
        <v>3</v>
      </c>
      <c r="B7" s="3" t="inlineStr">
        <is>
          <t>Management Representative</t>
        </is>
      </c>
      <c r="C7" s="4" t="n"/>
      <c r="D7" s="4" t="n"/>
      <c r="E7" s="4" t="n"/>
      <c r="F7" s="5" t="inlineStr">
        <is>
          <t>Cross-functional coordination, corrective action follow-up</t>
        </is>
      </c>
    </row>
    <row r="8" ht="25.5" customHeight="1">
      <c r="A8" s="2" t="n">
        <v>4</v>
      </c>
      <c r="B8" s="3" t="inlineStr">
        <is>
          <t>Safety Officer</t>
        </is>
      </c>
      <c r="C8" s="4" t="n"/>
      <c r="D8" s="4" t="n"/>
      <c r="E8" s="4" t="n"/>
      <c r="F8" s="5" t="inlineStr">
        <is>
          <t>Safety-related 5S points, PPE and signage compliance</t>
        </is>
      </c>
    </row>
    <row r="9" ht="25.5" customHeight="1">
      <c r="A9" s="2" t="n">
        <v>5</v>
      </c>
      <c r="B9" s="3" t="inlineStr">
        <is>
          <t>Committee Member – Production</t>
        </is>
      </c>
      <c r="C9" s="4" t="n"/>
      <c r="D9" s="4" t="n"/>
      <c r="E9" s="4" t="n"/>
      <c r="F9" s="5" t="inlineStr">
        <is>
          <t>Shop floor zone ownership and support</t>
        </is>
      </c>
    </row>
    <row r="10" ht="25.5" customHeight="1">
      <c r="A10" s="2" t="n">
        <v>6</v>
      </c>
      <c r="B10" s="3" t="inlineStr">
        <is>
          <t>Committee Member – Stores / SCM</t>
        </is>
      </c>
      <c r="C10" s="4" t="n"/>
      <c r="D10" s="4" t="n"/>
      <c r="E10" s="4" t="n"/>
      <c r="F10" s="5" t="inlineStr">
        <is>
          <t>Stores, FG and packing zone support</t>
        </is>
      </c>
    </row>
    <row r="11" ht="25.5" customHeight="1">
      <c r="A11" s="2" t="n">
        <v>7</v>
      </c>
      <c r="B11" s="3" t="inlineStr">
        <is>
          <t>Committee Member – Maintenance / Utility</t>
        </is>
      </c>
      <c r="C11" s="4" t="n"/>
      <c r="D11" s="4" t="n"/>
      <c r="E11" s="4" t="n"/>
      <c r="F11" s="5" t="inlineStr">
        <is>
          <t>Utility, maintenance and premises zone support</t>
        </is>
      </c>
    </row>
    <row r="12" ht="25.5" customHeight="1">
      <c r="A12" s="2" t="n">
        <v>8</v>
      </c>
      <c r="B12" s="3" t="inlineStr">
        <is>
          <t>Committee Member – HR / Admin</t>
        </is>
      </c>
      <c r="C12" s="4" t="n"/>
      <c r="D12" s="4" t="n"/>
      <c r="E12" s="4" t="n"/>
      <c r="F12" s="5" t="inlineStr">
        <is>
          <t>Office zones, training, reward &amp; recognition</t>
        </is>
      </c>
    </row>
    <row r="14">
      <c r="A14" s="30" t="inlineStr">
        <is>
          <t>B. AUDIT TEAMS (cross-functional – auditors must not audit their own zones)</t>
        </is>
      </c>
    </row>
    <row r="15">
      <c r="A15" s="1" t="inlineStr">
        <is>
          <t>Sr.</t>
        </is>
      </c>
      <c r="B15" s="1" t="inlineStr">
        <is>
          <t>Auditor Name</t>
        </is>
      </c>
      <c r="C15" s="43" t="n"/>
      <c r="D15" s="1" t="inlineStr">
        <is>
          <t>Department</t>
        </is>
      </c>
      <c r="E15" s="1" t="inlineStr">
        <is>
          <t>Designation</t>
        </is>
      </c>
      <c r="F15" s="1" t="n"/>
    </row>
    <row r="16" ht="19.5" customHeight="1">
      <c r="A16" s="2" t="n">
        <v>1</v>
      </c>
      <c r="B16" s="6" t="inlineStr">
        <is>
          <t>Mr XYZ</t>
        </is>
      </c>
      <c r="C16" s="43" t="n"/>
      <c r="D16" s="4" t="inlineStr">
        <is>
          <t>Quality</t>
        </is>
      </c>
      <c r="E16" s="4" t="inlineStr">
        <is>
          <t>Sr. Engineer</t>
        </is>
      </c>
      <c r="F16" s="4" t="n"/>
    </row>
    <row r="17" ht="19.5" customHeight="1">
      <c r="A17" s="2" t="n">
        <v>2</v>
      </c>
      <c r="B17" s="6" t="n"/>
      <c r="C17" s="43" t="n"/>
      <c r="D17" s="4" t="n"/>
      <c r="E17" s="4" t="n"/>
      <c r="F17" s="4" t="n"/>
    </row>
    <row r="18" ht="19.5" customHeight="1">
      <c r="A18" s="2" t="n">
        <v>3</v>
      </c>
      <c r="B18" s="6" t="n"/>
      <c r="C18" s="43" t="n"/>
      <c r="D18" s="4" t="n"/>
      <c r="E18" s="4" t="n"/>
      <c r="F18" s="4" t="n"/>
    </row>
    <row r="19" ht="19.5" customHeight="1">
      <c r="A19" s="2" t="n">
        <v>4</v>
      </c>
      <c r="B19" s="6" t="n"/>
      <c r="C19" s="43" t="n"/>
      <c r="D19" s="4" t="n"/>
      <c r="E19" s="4" t="n"/>
      <c r="F19" s="4" t="n"/>
    </row>
    <row r="20" ht="19.5" customHeight="1">
      <c r="A20" s="2" t="n">
        <v>5</v>
      </c>
      <c r="B20" s="6" t="n"/>
      <c r="C20" s="43" t="n"/>
      <c r="D20" s="4" t="n"/>
      <c r="E20" s="4" t="n"/>
      <c r="F20" s="4" t="n"/>
    </row>
    <row r="21" ht="19.5" customHeight="1">
      <c r="A21" s="2" t="n">
        <v>6</v>
      </c>
      <c r="B21" s="6" t="n"/>
      <c r="C21" s="43" t="n"/>
      <c r="D21" s="4" t="n"/>
      <c r="E21" s="4" t="n"/>
      <c r="F21" s="4" t="n"/>
    </row>
    <row r="22" ht="19.5" customHeight="1">
      <c r="A22" s="2" t="n">
        <v>7</v>
      </c>
      <c r="B22" s="6" t="n"/>
      <c r="C22" s="43" t="n"/>
      <c r="D22" s="4" t="n"/>
      <c r="E22" s="4" t="n"/>
      <c r="F22" s="4" t="n"/>
    </row>
    <row r="23" ht="19.5" customHeight="1">
      <c r="A23" s="2" t="n">
        <v>8</v>
      </c>
      <c r="B23" s="6" t="n"/>
      <c r="C23" s="43" t="n"/>
      <c r="D23" s="4" t="n"/>
      <c r="E23" s="4" t="n"/>
      <c r="F23" s="4" t="n"/>
    </row>
    <row r="24" ht="19.5" customHeight="1">
      <c r="A24" s="2" t="n">
        <v>9</v>
      </c>
      <c r="B24" s="6" t="n"/>
      <c r="C24" s="43" t="n"/>
      <c r="D24" s="4" t="n"/>
      <c r="E24" s="4" t="n"/>
      <c r="F24" s="4" t="n"/>
    </row>
    <row r="25" ht="19.5" customHeight="1">
      <c r="A25" s="2" t="n">
        <v>10</v>
      </c>
      <c r="B25" s="6" t="n"/>
      <c r="C25" s="43" t="n"/>
      <c r="D25" s="4" t="n"/>
      <c r="E25" s="4" t="n"/>
      <c r="F25" s="4" t="n"/>
    </row>
    <row r="26" ht="19.5" customHeight="1">
      <c r="A26" s="2" t="n">
        <v>11</v>
      </c>
      <c r="B26" s="6" t="n"/>
      <c r="C26" s="43" t="n"/>
      <c r="D26" s="4" t="n"/>
      <c r="E26" s="4" t="n"/>
      <c r="F26" s="4" t="n"/>
    </row>
    <row r="27" ht="19.5" customHeight="1">
      <c r="A27" s="2" t="n">
        <v>12</v>
      </c>
      <c r="B27" s="6" t="n"/>
      <c r="C27" s="43" t="n"/>
      <c r="D27" s="4" t="n"/>
      <c r="E27" s="4" t="n"/>
      <c r="F27" s="4" t="n"/>
    </row>
    <row r="28" ht="19.5" customHeight="1">
      <c r="A28" s="2" t="n">
        <v>13</v>
      </c>
      <c r="B28" s="6" t="n"/>
      <c r="C28" s="43" t="n"/>
      <c r="D28" s="4" t="n"/>
      <c r="E28" s="4" t="n"/>
      <c r="F28" s="4" t="n"/>
    </row>
    <row r="29" ht="19.5" customHeight="1">
      <c r="A29" s="2" t="n">
        <v>14</v>
      </c>
      <c r="B29" s="6" t="n"/>
      <c r="C29" s="43" t="n"/>
      <c r="D29" s="4" t="n"/>
      <c r="E29" s="4" t="n"/>
      <c r="F29" s="4" t="n"/>
    </row>
    <row r="30" ht="19.5" customHeight="1">
      <c r="A30" s="2" t="n">
        <v>15</v>
      </c>
      <c r="B30" s="6" t="n"/>
      <c r="C30" s="43" t="n"/>
      <c r="D30" s="4" t="n"/>
      <c r="E30" s="4" t="n"/>
      <c r="F30" s="4" t="n"/>
    </row>
    <row r="31" ht="19.5" customHeight="1">
      <c r="A31" s="2" t="n">
        <v>16</v>
      </c>
      <c r="B31" s="6" t="n"/>
      <c r="C31" s="43" t="n"/>
      <c r="D31" s="4" t="n"/>
      <c r="E31" s="4" t="n"/>
      <c r="F31" s="4" t="n"/>
    </row>
    <row r="32" ht="19.5" customHeight="1">
      <c r="A32" s="2" t="n">
        <v>17</v>
      </c>
      <c r="B32" s="6" t="n"/>
      <c r="C32" s="43" t="n"/>
      <c r="D32" s="4" t="n"/>
      <c r="E32" s="4" t="n"/>
      <c r="F32" s="4" t="n"/>
    </row>
    <row r="33" ht="19.5" customHeight="1">
      <c r="A33" s="2" t="n">
        <v>18</v>
      </c>
      <c r="B33" s="6" t="n"/>
      <c r="C33" s="43" t="n"/>
      <c r="D33" s="4" t="n"/>
      <c r="E33" s="4" t="n"/>
      <c r="F33" s="4" t="n"/>
    </row>
    <row r="35" ht="39.75" customHeight="1">
      <c r="A35" s="31" t="inlineStr">
        <is>
          <t>Prepared by AB Associates, Nashik.</t>
        </is>
      </c>
    </row>
  </sheetData>
  <mergeCells count="23">
    <mergeCell ref="B16:C16"/>
    <mergeCell ref="B25:C25"/>
    <mergeCell ref="B22:C22"/>
    <mergeCell ref="B31:C31"/>
    <mergeCell ref="A3:F3"/>
    <mergeCell ref="B27:C27"/>
    <mergeCell ref="B18:C18"/>
    <mergeCell ref="B21:C21"/>
    <mergeCell ref="A14:F14"/>
    <mergeCell ref="B23:C23"/>
    <mergeCell ref="A35:F35"/>
    <mergeCell ref="B17:C17"/>
    <mergeCell ref="B29:C29"/>
    <mergeCell ref="B19:C19"/>
    <mergeCell ref="B28:C28"/>
    <mergeCell ref="B24:C24"/>
    <mergeCell ref="B30:C30"/>
    <mergeCell ref="B15:C15"/>
    <mergeCell ref="B33:C33"/>
    <mergeCell ref="A1:F1"/>
    <mergeCell ref="B20:C20"/>
    <mergeCell ref="B32:C32"/>
    <mergeCell ref="B26:C26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D6" sqref="D6"/>
    </sheetView>
  </sheetViews>
  <sheetFormatPr baseColWidth="8" defaultColWidth="8.5703125" defaultRowHeight="15"/>
  <cols>
    <col width="5" customWidth="1" min="1" max="1"/>
    <col width="30" customWidth="1" min="2" max="2"/>
    <col width="12" customWidth="1" min="3" max="3"/>
    <col width="10" customWidth="1" min="4" max="4"/>
    <col width="16" customWidth="1" min="5" max="5"/>
    <col width="7" customWidth="1" min="6" max="17"/>
  </cols>
  <sheetData>
    <row r="1" ht="25.5" customHeight="1">
      <c r="A1" s="29" t="inlineStr">
        <is>
          <t>ANNUAL 5S AUDIT SCHEDULE – 50 ZONES</t>
        </is>
      </c>
    </row>
    <row r="3" ht="30" customHeight="1">
      <c r="A3" s="32" t="inlineStr">
        <is>
          <t>Enter the planned audit week (W1–W4) or date in the yellow cells for each zone and month. When the audit is completed, add ✓ after the week (e.g., 'W2 ✓'). Zone 1 / Jan is a worked example – overwrite it.</t>
        </is>
      </c>
    </row>
    <row r="5" ht="38.25" customHeight="1">
      <c r="A5" s="1" t="inlineStr">
        <is>
          <t>Zone No.</t>
        </is>
      </c>
      <c r="B5" s="1" t="inlineStr">
        <is>
          <t>Zone Name</t>
        </is>
      </c>
      <c r="C5" s="1" t="inlineStr">
        <is>
          <t>Category</t>
        </is>
      </c>
      <c r="D5" s="1" t="inlineStr">
        <is>
          <t>Auditor</t>
        </is>
      </c>
      <c r="E5" s="1" t="inlineStr">
        <is>
          <t>Zone Owner</t>
        </is>
      </c>
      <c r="F5" s="1" t="inlineStr">
        <is>
          <t>Jan</t>
        </is>
      </c>
      <c r="G5" s="1" t="inlineStr">
        <is>
          <t>Feb</t>
        </is>
      </c>
      <c r="H5" s="1" t="inlineStr">
        <is>
          <t>Mar</t>
        </is>
      </c>
      <c r="I5" s="1" t="inlineStr">
        <is>
          <t>Apr</t>
        </is>
      </c>
      <c r="J5" s="1" t="inlineStr">
        <is>
          <t>May</t>
        </is>
      </c>
      <c r="K5" s="1" t="inlineStr">
        <is>
          <t>Jun</t>
        </is>
      </c>
      <c r="L5" s="1" t="inlineStr">
        <is>
          <t>Jul</t>
        </is>
      </c>
      <c r="M5" s="1" t="inlineStr">
        <is>
          <t>Aug</t>
        </is>
      </c>
      <c r="N5" s="1" t="inlineStr">
        <is>
          <t>Sep</t>
        </is>
      </c>
      <c r="O5" s="1" t="inlineStr">
        <is>
          <t>Oct</t>
        </is>
      </c>
      <c r="P5" s="1" t="inlineStr">
        <is>
          <t>Nov</t>
        </is>
      </c>
      <c r="Q5" s="1" t="inlineStr">
        <is>
          <t>Dec</t>
        </is>
      </c>
    </row>
    <row r="6" ht="18" customHeight="1">
      <c r="A6" s="2" t="n">
        <v>1</v>
      </c>
      <c r="B6" s="4" t="inlineStr">
        <is>
          <t>Machine Shop Zone 1</t>
        </is>
      </c>
      <c r="C6" s="7" t="inlineStr">
        <is>
          <t>Shop Floor</t>
        </is>
      </c>
      <c r="D6" s="6" t="n"/>
      <c r="E6" s="4" t="n"/>
      <c r="F6" s="6" t="inlineStr">
        <is>
          <t>W2 ✓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 ht="18" customHeight="1">
      <c r="A7" s="2" t="n">
        <v>2</v>
      </c>
      <c r="B7" s="4" t="inlineStr">
        <is>
          <t>Machine Shop Zone 2</t>
        </is>
      </c>
      <c r="C7" s="7" t="inlineStr">
        <is>
          <t>Shop Floor</t>
        </is>
      </c>
      <c r="D7" s="6" t="n"/>
      <c r="E7" s="4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</row>
    <row r="8" ht="18" customHeight="1">
      <c r="A8" s="2" t="n">
        <v>3</v>
      </c>
      <c r="B8" s="4" t="inlineStr">
        <is>
          <t>Machine Shop Zone 3</t>
        </is>
      </c>
      <c r="C8" s="7" t="inlineStr">
        <is>
          <t>Shop Floor</t>
        </is>
      </c>
      <c r="D8" s="6" t="n"/>
      <c r="E8" s="4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 ht="18" customHeight="1">
      <c r="A9" s="2" t="n">
        <v>4</v>
      </c>
      <c r="B9" s="4" t="inlineStr">
        <is>
          <t>Press Shop Zone 1</t>
        </is>
      </c>
      <c r="C9" s="7" t="inlineStr">
        <is>
          <t>Shop Floor</t>
        </is>
      </c>
      <c r="D9" s="6" t="n"/>
      <c r="E9" s="4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</row>
    <row r="10" ht="18" customHeight="1">
      <c r="A10" s="2" t="n">
        <v>5</v>
      </c>
      <c r="B10" s="4" t="inlineStr">
        <is>
          <t>Press Shop Zone 2</t>
        </is>
      </c>
      <c r="C10" s="7" t="inlineStr">
        <is>
          <t>Shop Floor</t>
        </is>
      </c>
      <c r="D10" s="6" t="n"/>
      <c r="E10" s="4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 ht="18" customHeight="1">
      <c r="A11" s="2" t="n">
        <v>6</v>
      </c>
      <c r="B11" s="4" t="inlineStr">
        <is>
          <t>Weld Shop Zone 1</t>
        </is>
      </c>
      <c r="C11" s="7" t="inlineStr">
        <is>
          <t>Shop Floor</t>
        </is>
      </c>
      <c r="D11" s="6" t="n"/>
      <c r="E11" s="4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</row>
    <row r="12" ht="18" customHeight="1">
      <c r="A12" s="2" t="n">
        <v>7</v>
      </c>
      <c r="B12" s="4" t="inlineStr">
        <is>
          <t>Weld Shop Zone 2</t>
        </is>
      </c>
      <c r="C12" s="7" t="inlineStr">
        <is>
          <t>Shop Floor</t>
        </is>
      </c>
      <c r="D12" s="6" t="n"/>
      <c r="E12" s="4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 ht="18" customHeight="1">
      <c r="A13" s="2" t="n">
        <v>8</v>
      </c>
      <c r="B13" s="4" t="inlineStr">
        <is>
          <t>Assembly Line 1</t>
        </is>
      </c>
      <c r="C13" s="7" t="inlineStr">
        <is>
          <t>Shop Floor</t>
        </is>
      </c>
      <c r="D13" s="6" t="n"/>
      <c r="E13" s="4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</row>
    <row r="14" ht="18" customHeight="1">
      <c r="A14" s="2" t="n">
        <v>9</v>
      </c>
      <c r="B14" s="4" t="inlineStr">
        <is>
          <t>Assembly Line 2</t>
        </is>
      </c>
      <c r="C14" s="7" t="inlineStr">
        <is>
          <t>Shop Floor</t>
        </is>
      </c>
      <c r="D14" s="6" t="n"/>
      <c r="E14" s="4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 ht="18" customHeight="1">
      <c r="A15" s="2" t="n">
        <v>10</v>
      </c>
      <c r="B15" s="4" t="inlineStr">
        <is>
          <t>Assembly Line 3</t>
        </is>
      </c>
      <c r="C15" s="7" t="inlineStr">
        <is>
          <t>Shop Floor</t>
        </is>
      </c>
      <c r="D15" s="6" t="n"/>
      <c r="E15" s="4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</row>
    <row r="16" ht="18" customHeight="1">
      <c r="A16" s="2" t="n">
        <v>11</v>
      </c>
      <c r="B16" s="4" t="inlineStr">
        <is>
          <t>Assembly Line 4</t>
        </is>
      </c>
      <c r="C16" s="7" t="inlineStr">
        <is>
          <t>Shop Floor</t>
        </is>
      </c>
      <c r="D16" s="6" t="n"/>
      <c r="E16" s="4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 ht="18" customHeight="1">
      <c r="A17" s="2" t="n">
        <v>12</v>
      </c>
      <c r="B17" s="4" t="inlineStr">
        <is>
          <t>Paint Shop Zone 1</t>
        </is>
      </c>
      <c r="C17" s="7" t="inlineStr">
        <is>
          <t>Shop Floor</t>
        </is>
      </c>
      <c r="D17" s="6" t="n"/>
      <c r="E17" s="4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</row>
    <row r="18" ht="18" customHeight="1">
      <c r="A18" s="2" t="n">
        <v>13</v>
      </c>
      <c r="B18" s="4" t="inlineStr">
        <is>
          <t>Paint Shop Zone 2</t>
        </is>
      </c>
      <c r="C18" s="7" t="inlineStr">
        <is>
          <t>Shop Floor</t>
        </is>
      </c>
      <c r="D18" s="6" t="n"/>
      <c r="E18" s="4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</row>
    <row r="19" ht="18" customHeight="1">
      <c r="A19" s="2" t="n">
        <v>14</v>
      </c>
      <c r="B19" s="4" t="inlineStr">
        <is>
          <t>Heat Treatment</t>
        </is>
      </c>
      <c r="C19" s="7" t="inlineStr">
        <is>
          <t>Shop Floor</t>
        </is>
      </c>
      <c r="D19" s="6" t="n"/>
      <c r="E19" s="4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</row>
    <row r="20" ht="18" customHeight="1">
      <c r="A20" s="2" t="n">
        <v>15</v>
      </c>
      <c r="B20" s="4" t="inlineStr">
        <is>
          <t>Tool Room</t>
        </is>
      </c>
      <c r="C20" s="7" t="inlineStr">
        <is>
          <t>Shop Floor</t>
        </is>
      </c>
      <c r="D20" s="6" t="n"/>
      <c r="E20" s="4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</row>
    <row r="21" ht="18" customHeight="1">
      <c r="A21" s="2" t="n">
        <v>16</v>
      </c>
      <c r="B21" s="4" t="inlineStr">
        <is>
          <t>RM Store Zone 1</t>
        </is>
      </c>
      <c r="C21" s="7" t="inlineStr">
        <is>
          <t>Stores</t>
        </is>
      </c>
      <c r="D21" s="6" t="n"/>
      <c r="E21" s="4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 ht="18" customHeight="1">
      <c r="A22" s="2" t="n">
        <v>17</v>
      </c>
      <c r="B22" s="4" t="inlineStr">
        <is>
          <t>RM Store Zone 2</t>
        </is>
      </c>
      <c r="C22" s="7" t="inlineStr">
        <is>
          <t>Stores</t>
        </is>
      </c>
      <c r="D22" s="6" t="n"/>
      <c r="E22" s="4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 ht="18" customHeight="1">
      <c r="A23" s="2" t="n">
        <v>18</v>
      </c>
      <c r="B23" s="4" t="inlineStr">
        <is>
          <t>Engineering / Spares Store</t>
        </is>
      </c>
      <c r="C23" s="7" t="inlineStr">
        <is>
          <t>Stores</t>
        </is>
      </c>
      <c r="D23" s="6" t="n"/>
      <c r="E23" s="4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</row>
    <row r="24" ht="18" customHeight="1">
      <c r="A24" s="2" t="n">
        <v>19</v>
      </c>
      <c r="B24" s="4" t="inlineStr">
        <is>
          <t>Consumables Store</t>
        </is>
      </c>
      <c r="C24" s="7" t="inlineStr">
        <is>
          <t>Stores</t>
        </is>
      </c>
      <c r="D24" s="6" t="n"/>
      <c r="E24" s="4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</row>
    <row r="25" ht="18" customHeight="1">
      <c r="A25" s="2" t="n">
        <v>20</v>
      </c>
      <c r="B25" s="4" t="inlineStr">
        <is>
          <t>Chemical Store</t>
        </is>
      </c>
      <c r="C25" s="7" t="inlineStr">
        <is>
          <t>Stores</t>
        </is>
      </c>
      <c r="D25" s="6" t="n"/>
      <c r="E25" s="4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</row>
    <row r="26" ht="18" customHeight="1">
      <c r="A26" s="2" t="n">
        <v>21</v>
      </c>
      <c r="B26" s="4" t="inlineStr">
        <is>
          <t>FG Store Zone 1</t>
        </is>
      </c>
      <c r="C26" s="7" t="inlineStr">
        <is>
          <t>Stores</t>
        </is>
      </c>
      <c r="D26" s="6" t="n"/>
      <c r="E26" s="4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</row>
    <row r="27" ht="18" customHeight="1">
      <c r="A27" s="2" t="n">
        <v>22</v>
      </c>
      <c r="B27" s="4" t="inlineStr">
        <is>
          <t>FG Store Zone 2</t>
        </is>
      </c>
      <c r="C27" s="7" t="inlineStr">
        <is>
          <t>Stores</t>
        </is>
      </c>
      <c r="D27" s="6" t="n"/>
      <c r="E27" s="4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</row>
    <row r="28" ht="18" customHeight="1">
      <c r="A28" s="2" t="n">
        <v>23</v>
      </c>
      <c r="B28" s="4" t="inlineStr">
        <is>
          <t>Packing Material Store</t>
        </is>
      </c>
      <c r="C28" s="7" t="inlineStr">
        <is>
          <t>Stores</t>
        </is>
      </c>
      <c r="D28" s="6" t="n"/>
      <c r="E28" s="4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</row>
    <row r="29" ht="18" customHeight="1">
      <c r="A29" s="2" t="n">
        <v>24</v>
      </c>
      <c r="B29" s="4" t="inlineStr">
        <is>
          <t>Packing Area Line 1</t>
        </is>
      </c>
      <c r="C29" s="7" t="inlineStr">
        <is>
          <t>Packing</t>
        </is>
      </c>
      <c r="D29" s="6" t="n"/>
      <c r="E29" s="4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</row>
    <row r="30" ht="18" customHeight="1">
      <c r="A30" s="2" t="n">
        <v>25</v>
      </c>
      <c r="B30" s="4" t="inlineStr">
        <is>
          <t>Packing Area Line 2</t>
        </is>
      </c>
      <c r="C30" s="7" t="inlineStr">
        <is>
          <t>Packing</t>
        </is>
      </c>
      <c r="D30" s="6" t="n"/>
      <c r="E30" s="4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</row>
    <row r="31" ht="18" customHeight="1">
      <c r="A31" s="2" t="n">
        <v>26</v>
      </c>
      <c r="B31" s="4" t="inlineStr">
        <is>
          <t>Dispatch / Loading Bay</t>
        </is>
      </c>
      <c r="C31" s="7" t="inlineStr">
        <is>
          <t>Packing</t>
        </is>
      </c>
      <c r="D31" s="6" t="n"/>
      <c r="E31" s="4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</row>
    <row r="32" ht="18" customHeight="1">
      <c r="A32" s="2" t="n">
        <v>27</v>
      </c>
      <c r="B32" s="4" t="inlineStr">
        <is>
          <t>Boiler House</t>
        </is>
      </c>
      <c r="C32" s="7" t="inlineStr">
        <is>
          <t>Utility</t>
        </is>
      </c>
      <c r="D32" s="6" t="n"/>
      <c r="E32" s="4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</row>
    <row r="33" ht="18" customHeight="1">
      <c r="A33" s="2" t="n">
        <v>28</v>
      </c>
      <c r="B33" s="4" t="inlineStr">
        <is>
          <t>Compressor Room</t>
        </is>
      </c>
      <c r="C33" s="7" t="inlineStr">
        <is>
          <t>Utility</t>
        </is>
      </c>
      <c r="D33" s="6" t="n"/>
      <c r="E33" s="4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</row>
    <row r="34" ht="18" customHeight="1">
      <c r="A34" s="2" t="n">
        <v>29</v>
      </c>
      <c r="B34" s="4" t="inlineStr">
        <is>
          <t>DG Room</t>
        </is>
      </c>
      <c r="C34" s="7" t="inlineStr">
        <is>
          <t>Utility</t>
        </is>
      </c>
      <c r="D34" s="6" t="n"/>
      <c r="E34" s="4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</row>
    <row r="35" ht="18" customHeight="1">
      <c r="A35" s="2" t="n">
        <v>30</v>
      </c>
      <c r="B35" s="4" t="inlineStr">
        <is>
          <t>Electrical Substation / MCC</t>
        </is>
      </c>
      <c r="C35" s="7" t="inlineStr">
        <is>
          <t>Utility</t>
        </is>
      </c>
      <c r="D35" s="6" t="n"/>
      <c r="E35" s="4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 ht="18" customHeight="1">
      <c r="A36" s="2" t="n">
        <v>31</v>
      </c>
      <c r="B36" s="4" t="inlineStr">
        <is>
          <t>ETP / STP Area</t>
        </is>
      </c>
      <c r="C36" s="7" t="inlineStr">
        <is>
          <t>Utility</t>
        </is>
      </c>
      <c r="D36" s="6" t="n"/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</row>
    <row r="37" ht="18" customHeight="1">
      <c r="A37" s="2" t="n">
        <v>32</v>
      </c>
      <c r="B37" s="4" t="inlineStr">
        <is>
          <t>Water Treatment Plant</t>
        </is>
      </c>
      <c r="C37" s="7" t="inlineStr">
        <is>
          <t>Utility</t>
        </is>
      </c>
      <c r="D37" s="6" t="n"/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 ht="18" customHeight="1">
      <c r="A38" s="2" t="n">
        <v>33</v>
      </c>
      <c r="B38" s="4" t="inlineStr">
        <is>
          <t>Maintenance Workshop</t>
        </is>
      </c>
      <c r="C38" s="7" t="inlineStr">
        <is>
          <t>Maintenance</t>
        </is>
      </c>
      <c r="D38" s="6" t="n"/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</row>
    <row r="39" ht="18" customHeight="1">
      <c r="A39" s="2" t="n">
        <v>34</v>
      </c>
      <c r="B39" s="4" t="inlineStr">
        <is>
          <t>QC Laboratory</t>
        </is>
      </c>
      <c r="C39" s="7" t="inlineStr">
        <is>
          <t>Quality</t>
        </is>
      </c>
      <c r="D39" s="6" t="n"/>
      <c r="E39" s="4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 ht="18" customHeight="1">
      <c r="A40" s="2" t="n">
        <v>35</v>
      </c>
      <c r="B40" s="4" t="inlineStr">
        <is>
          <t>Metrology / Calibration Room</t>
        </is>
      </c>
      <c r="C40" s="7" t="inlineStr">
        <is>
          <t>Quality</t>
        </is>
      </c>
      <c r="D40" s="6" t="n"/>
      <c r="E40" s="4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 ht="18" customHeight="1">
      <c r="A41" s="2" t="n">
        <v>36</v>
      </c>
      <c r="B41" s="4" t="inlineStr">
        <is>
          <t>Plant Head Office</t>
        </is>
      </c>
      <c r="C41" s="7" t="inlineStr">
        <is>
          <t>Office</t>
        </is>
      </c>
      <c r="D41" s="6" t="n"/>
      <c r="E41" s="4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 ht="18" customHeight="1">
      <c r="A42" s="2" t="n">
        <v>37</v>
      </c>
      <c r="B42" s="4" t="inlineStr">
        <is>
          <t>HR &amp; Admin Office</t>
        </is>
      </c>
      <c r="C42" s="7" t="inlineStr">
        <is>
          <t>Office</t>
        </is>
      </c>
      <c r="D42" s="6" t="n"/>
      <c r="E42" s="4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</row>
    <row r="43" ht="18" customHeight="1">
      <c r="A43" s="2" t="n">
        <v>38</v>
      </c>
      <c r="B43" s="4" t="inlineStr">
        <is>
          <t>Purchase Office</t>
        </is>
      </c>
      <c r="C43" s="7" t="inlineStr">
        <is>
          <t>Office</t>
        </is>
      </c>
      <c r="D43" s="6" t="n"/>
      <c r="E43" s="4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</row>
    <row r="44" ht="18" customHeight="1">
      <c r="A44" s="2" t="n">
        <v>39</v>
      </c>
      <c r="B44" s="4" t="inlineStr">
        <is>
          <t>Accounts Office</t>
        </is>
      </c>
      <c r="C44" s="7" t="inlineStr">
        <is>
          <t>Office</t>
        </is>
      </c>
      <c r="D44" s="6" t="n"/>
      <c r="E44" s="4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</row>
    <row r="45" ht="18" customHeight="1">
      <c r="A45" s="2" t="n">
        <v>40</v>
      </c>
      <c r="B45" s="4" t="inlineStr">
        <is>
          <t>Design / Engineering Office</t>
        </is>
      </c>
      <c r="C45" s="7" t="inlineStr">
        <is>
          <t>Office</t>
        </is>
      </c>
      <c r="D45" s="6" t="n"/>
      <c r="E45" s="4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 ht="18" customHeight="1">
      <c r="A46" s="2" t="n">
        <v>41</v>
      </c>
      <c r="B46" s="4" t="inlineStr">
        <is>
          <t>Marketing Office</t>
        </is>
      </c>
      <c r="C46" s="7" t="inlineStr">
        <is>
          <t>Office</t>
        </is>
      </c>
      <c r="D46" s="6" t="n"/>
      <c r="E46" s="4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</row>
    <row r="47" ht="18" customHeight="1">
      <c r="A47" s="2" t="n">
        <v>42</v>
      </c>
      <c r="B47" s="4" t="inlineStr">
        <is>
          <t>Production / PPC Office</t>
        </is>
      </c>
      <c r="C47" s="7" t="inlineStr">
        <is>
          <t>Office</t>
        </is>
      </c>
      <c r="D47" s="6" t="n"/>
      <c r="E47" s="4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</row>
    <row r="48" ht="18" customHeight="1">
      <c r="A48" s="2" t="n">
        <v>43</v>
      </c>
      <c r="B48" s="4" t="inlineStr">
        <is>
          <t>Stores Office</t>
        </is>
      </c>
      <c r="C48" s="7" t="inlineStr">
        <is>
          <t>Office</t>
        </is>
      </c>
      <c r="D48" s="6" t="n"/>
      <c r="E48" s="4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</row>
    <row r="49" ht="18" customHeight="1">
      <c r="A49" s="2" t="n">
        <v>44</v>
      </c>
      <c r="B49" s="4" t="inlineStr">
        <is>
          <t>IT / Server Room</t>
        </is>
      </c>
      <c r="C49" s="7" t="inlineStr">
        <is>
          <t>Office</t>
        </is>
      </c>
      <c r="D49" s="6" t="n"/>
      <c r="E49" s="4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</row>
    <row r="50" ht="18" customHeight="1">
      <c r="A50" s="2" t="n">
        <v>45</v>
      </c>
      <c r="B50" s="4" t="inlineStr">
        <is>
          <t>Training / Conference Room</t>
        </is>
      </c>
      <c r="C50" s="7" t="inlineStr">
        <is>
          <t>Office</t>
        </is>
      </c>
      <c r="D50" s="6" t="n"/>
      <c r="E50" s="4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</row>
    <row r="51" ht="18" customHeight="1">
      <c r="A51" s="2" t="n">
        <v>46</v>
      </c>
      <c r="B51" s="4" t="inlineStr">
        <is>
          <t>Security Gate &amp; Time Office</t>
        </is>
      </c>
      <c r="C51" s="7" t="inlineStr">
        <is>
          <t>Premises</t>
        </is>
      </c>
      <c r="D51" s="6" t="n"/>
      <c r="E51" s="4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</row>
    <row r="52" ht="18" customHeight="1">
      <c r="A52" s="2" t="n">
        <v>47</v>
      </c>
      <c r="B52" s="4" t="inlineStr">
        <is>
          <t>Canteen</t>
        </is>
      </c>
      <c r="C52" s="7" t="inlineStr">
        <is>
          <t>Premises</t>
        </is>
      </c>
      <c r="D52" s="6" t="n"/>
      <c r="E52" s="4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</row>
    <row r="53" ht="18" customHeight="1">
      <c r="A53" s="2" t="n">
        <v>48</v>
      </c>
      <c r="B53" s="4" t="inlineStr">
        <is>
          <t>Parking &amp; Internal Roads</t>
        </is>
      </c>
      <c r="C53" s="7" t="inlineStr">
        <is>
          <t>Premises</t>
        </is>
      </c>
      <c r="D53" s="6" t="n"/>
      <c r="E53" s="4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</row>
    <row r="54" ht="18" customHeight="1">
      <c r="A54" s="2" t="n">
        <v>49</v>
      </c>
      <c r="B54" s="4" t="inlineStr">
        <is>
          <t>Garden &amp; Boundary Premises</t>
        </is>
      </c>
      <c r="C54" s="7" t="inlineStr">
        <is>
          <t>Premises</t>
        </is>
      </c>
      <c r="D54" s="6" t="n"/>
      <c r="E54" s="4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</row>
    <row r="55" ht="18" customHeight="1">
      <c r="A55" s="2" t="n">
        <v>50</v>
      </c>
      <c r="B55" s="4" t="inlineStr">
        <is>
          <t>Scrap Yard</t>
        </is>
      </c>
      <c r="C55" s="7" t="inlineStr">
        <is>
          <t>Premises</t>
        </is>
      </c>
      <c r="D55" s="6" t="n"/>
      <c r="E55" s="4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</row>
  </sheetData>
  <mergeCells count="2">
    <mergeCell ref="A3:Q3"/>
    <mergeCell ref="A1:Q1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6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A1" sqref="A1:Q1"/>
    </sheetView>
  </sheetViews>
  <sheetFormatPr baseColWidth="8" defaultColWidth="8.5703125" defaultRowHeight="15"/>
  <cols>
    <col width="5" customWidth="1" min="1" max="1"/>
    <col width="30" customWidth="1" min="2" max="2"/>
    <col width="12" customWidth="1" min="3" max="3"/>
    <col width="7" customWidth="1" min="4" max="15"/>
    <col width="9" customWidth="1" min="16" max="16"/>
    <col width="15" customWidth="1" min="17" max="17"/>
  </cols>
  <sheetData>
    <row r="1" ht="25.5" customHeight="1">
      <c r="A1" s="29" t="inlineStr">
        <is>
          <t>MONTHLY ZONE-WISE 5S SCORE RECORD – 50 ZONES</t>
        </is>
      </c>
    </row>
    <row r="3" ht="31.5" customHeight="1">
      <c r="A3" s="32" t="inlineStr">
        <is>
          <t>Enter each zone's monthly audit score (out of 100) from its audit sheet in the yellow cells. Average and Rating calculate automatically. Zone 1 / Jan is a worked example (78) – overwrite it. Rating: ≥ 90 Outstanding | 75–89 On Track | 60–74 Improving | &lt; 60 Needs Support.</t>
        </is>
      </c>
    </row>
    <row r="5" ht="38.25" customHeight="1">
      <c r="A5" s="1" t="inlineStr">
        <is>
          <t>Zone No.</t>
        </is>
      </c>
      <c r="B5" s="1" t="inlineStr">
        <is>
          <t>Zone Name</t>
        </is>
      </c>
      <c r="C5" s="1" t="inlineStr">
        <is>
          <t>Category</t>
        </is>
      </c>
      <c r="D5" s="1" t="inlineStr">
        <is>
          <t>Jan</t>
        </is>
      </c>
      <c r="E5" s="1" t="inlineStr">
        <is>
          <t>Feb</t>
        </is>
      </c>
      <c r="F5" s="1" t="inlineStr">
        <is>
          <t>Mar</t>
        </is>
      </c>
      <c r="G5" s="1" t="inlineStr">
        <is>
          <t>Apr</t>
        </is>
      </c>
      <c r="H5" s="1" t="inlineStr">
        <is>
          <t>May</t>
        </is>
      </c>
      <c r="I5" s="1" t="inlineStr">
        <is>
          <t>Jun</t>
        </is>
      </c>
      <c r="J5" s="1" t="inlineStr">
        <is>
          <t>Jul</t>
        </is>
      </c>
      <c r="K5" s="1" t="inlineStr">
        <is>
          <t>Aug</t>
        </is>
      </c>
      <c r="L5" s="1" t="inlineStr">
        <is>
          <t>Sep</t>
        </is>
      </c>
      <c r="M5" s="1" t="inlineStr">
        <is>
          <t>Oct</t>
        </is>
      </c>
      <c r="N5" s="1" t="inlineStr">
        <is>
          <t>Nov</t>
        </is>
      </c>
      <c r="O5" s="1" t="inlineStr">
        <is>
          <t>Dec</t>
        </is>
      </c>
      <c r="P5" s="1" t="inlineStr">
        <is>
          <t>Avg.</t>
        </is>
      </c>
      <c r="Q5" s="1" t="inlineStr">
        <is>
          <t>Rating</t>
        </is>
      </c>
    </row>
    <row r="6" ht="18" customHeight="1">
      <c r="A6" s="2" t="n">
        <v>1</v>
      </c>
      <c r="B6" s="4" t="inlineStr">
        <is>
          <t>Machine Shop Zone 1</t>
        </is>
      </c>
      <c r="C6" s="7" t="inlineStr">
        <is>
          <t>Shop Floor</t>
        </is>
      </c>
      <c r="D6" s="6" t="n">
        <v>78</v>
      </c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8">
        <f>IF(COUNT(D6:O6)=0,"",ROUND(AVERAGE(D6:O6),1))</f>
        <v/>
      </c>
      <c r="Q6" s="2">
        <f>IF(P6="","",IF(P6&gt;=90,"Outstanding",IF(P6&gt;=75,"On Track",IF(P6&gt;=60,"Improving","Needs Support"))))</f>
        <v/>
      </c>
    </row>
    <row r="7" ht="18" customHeight="1">
      <c r="A7" s="2" t="n">
        <v>2</v>
      </c>
      <c r="B7" s="4" t="inlineStr">
        <is>
          <t>Machine Shop Zone 2</t>
        </is>
      </c>
      <c r="C7" s="7" t="inlineStr">
        <is>
          <t>Shop Floor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8">
        <f>IF(COUNT(D7:O7)=0,"",ROUND(AVERAGE(D7:O7),1))</f>
        <v/>
      </c>
      <c r="Q7" s="2">
        <f>IF(P7="","",IF(P7&gt;=90,"Outstanding",IF(P7&gt;=75,"On Track",IF(P7&gt;=60,"Improving","Needs Support"))))</f>
        <v/>
      </c>
    </row>
    <row r="8" ht="18" customHeight="1">
      <c r="A8" s="2" t="n">
        <v>3</v>
      </c>
      <c r="B8" s="4" t="inlineStr">
        <is>
          <t>Machine Shop Zone 3</t>
        </is>
      </c>
      <c r="C8" s="7" t="inlineStr">
        <is>
          <t>Shop Floor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8">
        <f>IF(COUNT(D8:O8)=0,"",ROUND(AVERAGE(D8:O8),1))</f>
        <v/>
      </c>
      <c r="Q8" s="2">
        <f>IF(P8="","",IF(P8&gt;=90,"Outstanding",IF(P8&gt;=75,"On Track",IF(P8&gt;=60,"Improving","Needs Support"))))</f>
        <v/>
      </c>
    </row>
    <row r="9" ht="18" customHeight="1">
      <c r="A9" s="2" t="n">
        <v>4</v>
      </c>
      <c r="B9" s="4" t="inlineStr">
        <is>
          <t>Press Shop Zone 1</t>
        </is>
      </c>
      <c r="C9" s="7" t="inlineStr">
        <is>
          <t>Shop Floor</t>
        </is>
      </c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8">
        <f>IF(COUNT(D9:O9)=0,"",ROUND(AVERAGE(D9:O9),1))</f>
        <v/>
      </c>
      <c r="Q9" s="2">
        <f>IF(P9="","",IF(P9&gt;=90,"Outstanding",IF(P9&gt;=75,"On Track",IF(P9&gt;=60,"Improving","Needs Support"))))</f>
        <v/>
      </c>
    </row>
    <row r="10" ht="18" customHeight="1">
      <c r="A10" s="2" t="n">
        <v>5</v>
      </c>
      <c r="B10" s="4" t="inlineStr">
        <is>
          <t>Press Shop Zone 2</t>
        </is>
      </c>
      <c r="C10" s="7" t="inlineStr">
        <is>
          <t>Shop Floor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8">
        <f>IF(COUNT(D10:O10)=0,"",ROUND(AVERAGE(D10:O10),1))</f>
        <v/>
      </c>
      <c r="Q10" s="2">
        <f>IF(P10="","",IF(P10&gt;=90,"Outstanding",IF(P10&gt;=75,"On Track",IF(P10&gt;=60,"Improving","Needs Support"))))</f>
        <v/>
      </c>
    </row>
    <row r="11" ht="18" customHeight="1">
      <c r="A11" s="2" t="n">
        <v>6</v>
      </c>
      <c r="B11" s="4" t="inlineStr">
        <is>
          <t>Weld Shop Zone 1</t>
        </is>
      </c>
      <c r="C11" s="7" t="inlineStr">
        <is>
          <t>Shop Floor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8">
        <f>IF(COUNT(D11:O11)=0,"",ROUND(AVERAGE(D11:O11),1))</f>
        <v/>
      </c>
      <c r="Q11" s="2">
        <f>IF(P11="","",IF(P11&gt;=90,"Outstanding",IF(P11&gt;=75,"On Track",IF(P11&gt;=60,"Improving","Needs Support"))))</f>
        <v/>
      </c>
    </row>
    <row r="12" ht="18" customHeight="1">
      <c r="A12" s="2" t="n">
        <v>7</v>
      </c>
      <c r="B12" s="4" t="inlineStr">
        <is>
          <t>Weld Shop Zone 2</t>
        </is>
      </c>
      <c r="C12" s="7" t="inlineStr">
        <is>
          <t>Shop Floor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8">
        <f>IF(COUNT(D12:O12)=0,"",ROUND(AVERAGE(D12:O12),1))</f>
        <v/>
      </c>
      <c r="Q12" s="2">
        <f>IF(P12="","",IF(P12&gt;=90,"Outstanding",IF(P12&gt;=75,"On Track",IF(P12&gt;=60,"Improving","Needs Support"))))</f>
        <v/>
      </c>
    </row>
    <row r="13" ht="18" customHeight="1">
      <c r="A13" s="2" t="n">
        <v>8</v>
      </c>
      <c r="B13" s="4" t="inlineStr">
        <is>
          <t>Assembly Line 1</t>
        </is>
      </c>
      <c r="C13" s="7" t="inlineStr">
        <is>
          <t>Shop Floor</t>
        </is>
      </c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8">
        <f>IF(COUNT(D13:O13)=0,"",ROUND(AVERAGE(D13:O13),1))</f>
        <v/>
      </c>
      <c r="Q13" s="2">
        <f>IF(P13="","",IF(P13&gt;=90,"Outstanding",IF(P13&gt;=75,"On Track",IF(P13&gt;=60,"Improving","Needs Support"))))</f>
        <v/>
      </c>
    </row>
    <row r="14" ht="18" customHeight="1">
      <c r="A14" s="2" t="n">
        <v>9</v>
      </c>
      <c r="B14" s="4" t="inlineStr">
        <is>
          <t>Assembly Line 2</t>
        </is>
      </c>
      <c r="C14" s="7" t="inlineStr">
        <is>
          <t>Shop Floor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8">
        <f>IF(COUNT(D14:O14)=0,"",ROUND(AVERAGE(D14:O14),1))</f>
        <v/>
      </c>
      <c r="Q14" s="2">
        <f>IF(P14="","",IF(P14&gt;=90,"Outstanding",IF(P14&gt;=75,"On Track",IF(P14&gt;=60,"Improving","Needs Support"))))</f>
        <v/>
      </c>
    </row>
    <row r="15" ht="18" customHeight="1">
      <c r="A15" s="2" t="n">
        <v>10</v>
      </c>
      <c r="B15" s="4" t="inlineStr">
        <is>
          <t>Assembly Line 3</t>
        </is>
      </c>
      <c r="C15" s="7" t="inlineStr">
        <is>
          <t>Shop Floor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8">
        <f>IF(COUNT(D15:O15)=0,"",ROUND(AVERAGE(D15:O15),1))</f>
        <v/>
      </c>
      <c r="Q15" s="2">
        <f>IF(P15="","",IF(P15&gt;=90,"Outstanding",IF(P15&gt;=75,"On Track",IF(P15&gt;=60,"Improving","Needs Support"))))</f>
        <v/>
      </c>
    </row>
    <row r="16" ht="18" customHeight="1">
      <c r="A16" s="2" t="n">
        <v>11</v>
      </c>
      <c r="B16" s="4" t="inlineStr">
        <is>
          <t>Assembly Line 4</t>
        </is>
      </c>
      <c r="C16" s="7" t="inlineStr">
        <is>
          <t>Shop Floor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8">
        <f>IF(COUNT(D16:O16)=0,"",ROUND(AVERAGE(D16:O16),1))</f>
        <v/>
      </c>
      <c r="Q16" s="2">
        <f>IF(P16="","",IF(P16&gt;=90,"Outstanding",IF(P16&gt;=75,"On Track",IF(P16&gt;=60,"Improving","Needs Support"))))</f>
        <v/>
      </c>
    </row>
    <row r="17" ht="18" customHeight="1">
      <c r="A17" s="2" t="n">
        <v>12</v>
      </c>
      <c r="B17" s="4" t="inlineStr">
        <is>
          <t>Paint Shop Zone 1</t>
        </is>
      </c>
      <c r="C17" s="7" t="inlineStr">
        <is>
          <t>Shop Floor</t>
        </is>
      </c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8">
        <f>IF(COUNT(D17:O17)=0,"",ROUND(AVERAGE(D17:O17),1))</f>
        <v/>
      </c>
      <c r="Q17" s="2">
        <f>IF(P17="","",IF(P17&gt;=90,"Outstanding",IF(P17&gt;=75,"On Track",IF(P17&gt;=60,"Improving","Needs Support"))))</f>
        <v/>
      </c>
    </row>
    <row r="18" ht="18" customHeight="1">
      <c r="A18" s="2" t="n">
        <v>13</v>
      </c>
      <c r="B18" s="4" t="inlineStr">
        <is>
          <t>Paint Shop Zone 2</t>
        </is>
      </c>
      <c r="C18" s="7" t="inlineStr">
        <is>
          <t>Shop Floor</t>
        </is>
      </c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8">
        <f>IF(COUNT(D18:O18)=0,"",ROUND(AVERAGE(D18:O18),1))</f>
        <v/>
      </c>
      <c r="Q18" s="2">
        <f>IF(P18="","",IF(P18&gt;=90,"Outstanding",IF(P18&gt;=75,"On Track",IF(P18&gt;=60,"Improving","Needs Support"))))</f>
        <v/>
      </c>
    </row>
    <row r="19" ht="18" customHeight="1">
      <c r="A19" s="2" t="n">
        <v>14</v>
      </c>
      <c r="B19" s="4" t="inlineStr">
        <is>
          <t>Heat Treatment</t>
        </is>
      </c>
      <c r="C19" s="7" t="inlineStr">
        <is>
          <t>Shop Floor</t>
        </is>
      </c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8">
        <f>IF(COUNT(D19:O19)=0,"",ROUND(AVERAGE(D19:O19),1))</f>
        <v/>
      </c>
      <c r="Q19" s="2">
        <f>IF(P19="","",IF(P19&gt;=90,"Outstanding",IF(P19&gt;=75,"On Track",IF(P19&gt;=60,"Improving","Needs Support"))))</f>
        <v/>
      </c>
    </row>
    <row r="20" ht="18" customHeight="1">
      <c r="A20" s="2" t="n">
        <v>15</v>
      </c>
      <c r="B20" s="4" t="inlineStr">
        <is>
          <t>Tool Room</t>
        </is>
      </c>
      <c r="C20" s="7" t="inlineStr">
        <is>
          <t>Shop Floor</t>
        </is>
      </c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8">
        <f>IF(COUNT(D20:O20)=0,"",ROUND(AVERAGE(D20:O20),1))</f>
        <v/>
      </c>
      <c r="Q20" s="2">
        <f>IF(P20="","",IF(P20&gt;=90,"Outstanding",IF(P20&gt;=75,"On Track",IF(P20&gt;=60,"Improving","Needs Support"))))</f>
        <v/>
      </c>
    </row>
    <row r="21" ht="18" customHeight="1">
      <c r="A21" s="2" t="n">
        <v>16</v>
      </c>
      <c r="B21" s="4" t="inlineStr">
        <is>
          <t>RM Store Zone 1</t>
        </is>
      </c>
      <c r="C21" s="7" t="inlineStr">
        <is>
          <t>Stores</t>
        </is>
      </c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8">
        <f>IF(COUNT(D21:O21)=0,"",ROUND(AVERAGE(D21:O21),1))</f>
        <v/>
      </c>
      <c r="Q21" s="2">
        <f>IF(P21="","",IF(P21&gt;=90,"Outstanding",IF(P21&gt;=75,"On Track",IF(P21&gt;=60,"Improving","Needs Support"))))</f>
        <v/>
      </c>
    </row>
    <row r="22" ht="18" customHeight="1">
      <c r="A22" s="2" t="n">
        <v>17</v>
      </c>
      <c r="B22" s="4" t="inlineStr">
        <is>
          <t>RM Store Zone 2</t>
        </is>
      </c>
      <c r="C22" s="7" t="inlineStr">
        <is>
          <t>Stores</t>
        </is>
      </c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8">
        <f>IF(COUNT(D22:O22)=0,"",ROUND(AVERAGE(D22:O22),1))</f>
        <v/>
      </c>
      <c r="Q22" s="2">
        <f>IF(P22="","",IF(P22&gt;=90,"Outstanding",IF(P22&gt;=75,"On Track",IF(P22&gt;=60,"Improving","Needs Support"))))</f>
        <v/>
      </c>
    </row>
    <row r="23" ht="18" customHeight="1">
      <c r="A23" s="2" t="n">
        <v>18</v>
      </c>
      <c r="B23" s="4" t="inlineStr">
        <is>
          <t>Engineering / Spares Store</t>
        </is>
      </c>
      <c r="C23" s="7" t="inlineStr">
        <is>
          <t>Stores</t>
        </is>
      </c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8">
        <f>IF(COUNT(D23:O23)=0,"",ROUND(AVERAGE(D23:O23),1))</f>
        <v/>
      </c>
      <c r="Q23" s="2">
        <f>IF(P23="","",IF(P23&gt;=90,"Outstanding",IF(P23&gt;=75,"On Track",IF(P23&gt;=60,"Improving","Needs Support"))))</f>
        <v/>
      </c>
    </row>
    <row r="24" ht="18" customHeight="1">
      <c r="A24" s="2" t="n">
        <v>19</v>
      </c>
      <c r="B24" s="4" t="inlineStr">
        <is>
          <t>Consumables Store</t>
        </is>
      </c>
      <c r="C24" s="7" t="inlineStr">
        <is>
          <t>Stores</t>
        </is>
      </c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8">
        <f>IF(COUNT(D24:O24)=0,"",ROUND(AVERAGE(D24:O24),1))</f>
        <v/>
      </c>
      <c r="Q24" s="2">
        <f>IF(P24="","",IF(P24&gt;=90,"Outstanding",IF(P24&gt;=75,"On Track",IF(P24&gt;=60,"Improving","Needs Support"))))</f>
        <v/>
      </c>
    </row>
    <row r="25" ht="18" customHeight="1">
      <c r="A25" s="2" t="n">
        <v>20</v>
      </c>
      <c r="B25" s="4" t="inlineStr">
        <is>
          <t>Chemical Store</t>
        </is>
      </c>
      <c r="C25" s="7" t="inlineStr">
        <is>
          <t>Stores</t>
        </is>
      </c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8">
        <f>IF(COUNT(D25:O25)=0,"",ROUND(AVERAGE(D25:O25),1))</f>
        <v/>
      </c>
      <c r="Q25" s="2">
        <f>IF(P25="","",IF(P25&gt;=90,"Outstanding",IF(P25&gt;=75,"On Track",IF(P25&gt;=60,"Improving","Needs Support"))))</f>
        <v/>
      </c>
    </row>
    <row r="26" ht="18" customHeight="1">
      <c r="A26" s="2" t="n">
        <v>21</v>
      </c>
      <c r="B26" s="4" t="inlineStr">
        <is>
          <t>FG Store Zone 1</t>
        </is>
      </c>
      <c r="C26" s="7" t="inlineStr">
        <is>
          <t>Stores</t>
        </is>
      </c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8">
        <f>IF(COUNT(D26:O26)=0,"",ROUND(AVERAGE(D26:O26),1))</f>
        <v/>
      </c>
      <c r="Q26" s="2">
        <f>IF(P26="","",IF(P26&gt;=90,"Outstanding",IF(P26&gt;=75,"On Track",IF(P26&gt;=60,"Improving","Needs Support"))))</f>
        <v/>
      </c>
    </row>
    <row r="27" ht="18" customHeight="1">
      <c r="A27" s="2" t="n">
        <v>22</v>
      </c>
      <c r="B27" s="4" t="inlineStr">
        <is>
          <t>FG Store Zone 2</t>
        </is>
      </c>
      <c r="C27" s="7" t="inlineStr">
        <is>
          <t>Stores</t>
        </is>
      </c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8">
        <f>IF(COUNT(D27:O27)=0,"",ROUND(AVERAGE(D27:O27),1))</f>
        <v/>
      </c>
      <c r="Q27" s="2">
        <f>IF(P27="","",IF(P27&gt;=90,"Outstanding",IF(P27&gt;=75,"On Track",IF(P27&gt;=60,"Improving","Needs Support"))))</f>
        <v/>
      </c>
    </row>
    <row r="28" ht="18" customHeight="1">
      <c r="A28" s="2" t="n">
        <v>23</v>
      </c>
      <c r="B28" s="4" t="inlineStr">
        <is>
          <t>Packing Material Store</t>
        </is>
      </c>
      <c r="C28" s="7" t="inlineStr">
        <is>
          <t>Stores</t>
        </is>
      </c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8">
        <f>IF(COUNT(D28:O28)=0,"",ROUND(AVERAGE(D28:O28),1))</f>
        <v/>
      </c>
      <c r="Q28" s="2">
        <f>IF(P28="","",IF(P28&gt;=90,"Outstanding",IF(P28&gt;=75,"On Track",IF(P28&gt;=60,"Improving","Needs Support"))))</f>
        <v/>
      </c>
    </row>
    <row r="29" ht="18" customHeight="1">
      <c r="A29" s="2" t="n">
        <v>24</v>
      </c>
      <c r="B29" s="4" t="inlineStr">
        <is>
          <t>Packing Area Line 1</t>
        </is>
      </c>
      <c r="C29" s="7" t="inlineStr">
        <is>
          <t>Packing</t>
        </is>
      </c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8">
        <f>IF(COUNT(D29:O29)=0,"",ROUND(AVERAGE(D29:O29),1))</f>
        <v/>
      </c>
      <c r="Q29" s="2">
        <f>IF(P29="","",IF(P29&gt;=90,"Outstanding",IF(P29&gt;=75,"On Track",IF(P29&gt;=60,"Improving","Needs Support"))))</f>
        <v/>
      </c>
    </row>
    <row r="30" ht="18" customHeight="1">
      <c r="A30" s="2" t="n">
        <v>25</v>
      </c>
      <c r="B30" s="4" t="inlineStr">
        <is>
          <t>Packing Area Line 2</t>
        </is>
      </c>
      <c r="C30" s="7" t="inlineStr">
        <is>
          <t>Packing</t>
        </is>
      </c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8">
        <f>IF(COUNT(D30:O30)=0,"",ROUND(AVERAGE(D30:O30),1))</f>
        <v/>
      </c>
      <c r="Q30" s="2">
        <f>IF(P30="","",IF(P30&gt;=90,"Outstanding",IF(P30&gt;=75,"On Track",IF(P30&gt;=60,"Improving","Needs Support"))))</f>
        <v/>
      </c>
    </row>
    <row r="31" ht="18" customHeight="1">
      <c r="A31" s="2" t="n">
        <v>26</v>
      </c>
      <c r="B31" s="4" t="inlineStr">
        <is>
          <t>Dispatch / Loading Bay</t>
        </is>
      </c>
      <c r="C31" s="7" t="inlineStr">
        <is>
          <t>Packing</t>
        </is>
      </c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8">
        <f>IF(COUNT(D31:O31)=0,"",ROUND(AVERAGE(D31:O31),1))</f>
        <v/>
      </c>
      <c r="Q31" s="2">
        <f>IF(P31="","",IF(P31&gt;=90,"Outstanding",IF(P31&gt;=75,"On Track",IF(P31&gt;=60,"Improving","Needs Support"))))</f>
        <v/>
      </c>
    </row>
    <row r="32" ht="18" customHeight="1">
      <c r="A32" s="2" t="n">
        <v>27</v>
      </c>
      <c r="B32" s="4" t="inlineStr">
        <is>
          <t>Boiler House</t>
        </is>
      </c>
      <c r="C32" s="7" t="inlineStr">
        <is>
          <t>Utility</t>
        </is>
      </c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8">
        <f>IF(COUNT(D32:O32)=0,"",ROUND(AVERAGE(D32:O32),1))</f>
        <v/>
      </c>
      <c r="Q32" s="2">
        <f>IF(P32="","",IF(P32&gt;=90,"Outstanding",IF(P32&gt;=75,"On Track",IF(P32&gt;=60,"Improving","Needs Support"))))</f>
        <v/>
      </c>
    </row>
    <row r="33" ht="18" customHeight="1">
      <c r="A33" s="2" t="n">
        <v>28</v>
      </c>
      <c r="B33" s="4" t="inlineStr">
        <is>
          <t>Compressor Room</t>
        </is>
      </c>
      <c r="C33" s="7" t="inlineStr">
        <is>
          <t>Utility</t>
        </is>
      </c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8">
        <f>IF(COUNT(D33:O33)=0,"",ROUND(AVERAGE(D33:O33),1))</f>
        <v/>
      </c>
      <c r="Q33" s="2">
        <f>IF(P33="","",IF(P33&gt;=90,"Outstanding",IF(P33&gt;=75,"On Track",IF(P33&gt;=60,"Improving","Needs Support"))))</f>
        <v/>
      </c>
    </row>
    <row r="34" ht="18" customHeight="1">
      <c r="A34" s="2" t="n">
        <v>29</v>
      </c>
      <c r="B34" s="4" t="inlineStr">
        <is>
          <t>DG Room</t>
        </is>
      </c>
      <c r="C34" s="7" t="inlineStr">
        <is>
          <t>Utility</t>
        </is>
      </c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8">
        <f>IF(COUNT(D34:O34)=0,"",ROUND(AVERAGE(D34:O34),1))</f>
        <v/>
      </c>
      <c r="Q34" s="2">
        <f>IF(P34="","",IF(P34&gt;=90,"Outstanding",IF(P34&gt;=75,"On Track",IF(P34&gt;=60,"Improving","Needs Support"))))</f>
        <v/>
      </c>
    </row>
    <row r="35" ht="18" customHeight="1">
      <c r="A35" s="2" t="n">
        <v>30</v>
      </c>
      <c r="B35" s="4" t="inlineStr">
        <is>
          <t>Electrical Substation / MCC</t>
        </is>
      </c>
      <c r="C35" s="7" t="inlineStr">
        <is>
          <t>Utility</t>
        </is>
      </c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8">
        <f>IF(COUNT(D35:O35)=0,"",ROUND(AVERAGE(D35:O35),1))</f>
        <v/>
      </c>
      <c r="Q35" s="2">
        <f>IF(P35="","",IF(P35&gt;=90,"Outstanding",IF(P35&gt;=75,"On Track",IF(P35&gt;=60,"Improving","Needs Support"))))</f>
        <v/>
      </c>
    </row>
    <row r="36" ht="18" customHeight="1">
      <c r="A36" s="2" t="n">
        <v>31</v>
      </c>
      <c r="B36" s="4" t="inlineStr">
        <is>
          <t>ETP / STP Area</t>
        </is>
      </c>
      <c r="C36" s="7" t="inlineStr">
        <is>
          <t>Utility</t>
        </is>
      </c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8">
        <f>IF(COUNT(D36:O36)=0,"",ROUND(AVERAGE(D36:O36),1))</f>
        <v/>
      </c>
      <c r="Q36" s="2">
        <f>IF(P36="","",IF(P36&gt;=90,"Outstanding",IF(P36&gt;=75,"On Track",IF(P36&gt;=60,"Improving","Needs Support"))))</f>
        <v/>
      </c>
    </row>
    <row r="37" ht="18" customHeight="1">
      <c r="A37" s="2" t="n">
        <v>32</v>
      </c>
      <c r="B37" s="4" t="inlineStr">
        <is>
          <t>Water Treatment Plant</t>
        </is>
      </c>
      <c r="C37" s="7" t="inlineStr">
        <is>
          <t>Utility</t>
        </is>
      </c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8">
        <f>IF(COUNT(D37:O37)=0,"",ROUND(AVERAGE(D37:O37),1))</f>
        <v/>
      </c>
      <c r="Q37" s="2">
        <f>IF(P37="","",IF(P37&gt;=90,"Outstanding",IF(P37&gt;=75,"On Track",IF(P37&gt;=60,"Improving","Needs Support"))))</f>
        <v/>
      </c>
    </row>
    <row r="38" ht="18" customHeight="1">
      <c r="A38" s="2" t="n">
        <v>33</v>
      </c>
      <c r="B38" s="4" t="inlineStr">
        <is>
          <t>Maintenance Workshop</t>
        </is>
      </c>
      <c r="C38" s="7" t="inlineStr">
        <is>
          <t>Maintenance</t>
        </is>
      </c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8">
        <f>IF(COUNT(D38:O38)=0,"",ROUND(AVERAGE(D38:O38),1))</f>
        <v/>
      </c>
      <c r="Q38" s="2">
        <f>IF(P38="","",IF(P38&gt;=90,"Outstanding",IF(P38&gt;=75,"On Track",IF(P38&gt;=60,"Improving","Needs Support"))))</f>
        <v/>
      </c>
    </row>
    <row r="39" ht="18" customHeight="1">
      <c r="A39" s="2" t="n">
        <v>34</v>
      </c>
      <c r="B39" s="4" t="inlineStr">
        <is>
          <t>QC Laboratory</t>
        </is>
      </c>
      <c r="C39" s="7" t="inlineStr">
        <is>
          <t>Quality</t>
        </is>
      </c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8">
        <f>IF(COUNT(D39:O39)=0,"",ROUND(AVERAGE(D39:O39),1))</f>
        <v/>
      </c>
      <c r="Q39" s="2">
        <f>IF(P39="","",IF(P39&gt;=90,"Outstanding",IF(P39&gt;=75,"On Track",IF(P39&gt;=60,"Improving","Needs Support"))))</f>
        <v/>
      </c>
    </row>
    <row r="40" ht="18" customHeight="1">
      <c r="A40" s="2" t="n">
        <v>35</v>
      </c>
      <c r="B40" s="4" t="inlineStr">
        <is>
          <t>Metrology / Calibration Room</t>
        </is>
      </c>
      <c r="C40" s="7" t="inlineStr">
        <is>
          <t>Quality</t>
        </is>
      </c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8">
        <f>IF(COUNT(D40:O40)=0,"",ROUND(AVERAGE(D40:O40),1))</f>
        <v/>
      </c>
      <c r="Q40" s="2">
        <f>IF(P40="","",IF(P40&gt;=90,"Outstanding",IF(P40&gt;=75,"On Track",IF(P40&gt;=60,"Improving","Needs Support"))))</f>
        <v/>
      </c>
    </row>
    <row r="41" ht="18" customHeight="1">
      <c r="A41" s="2" t="n">
        <v>36</v>
      </c>
      <c r="B41" s="4" t="inlineStr">
        <is>
          <t>Plant Head Office</t>
        </is>
      </c>
      <c r="C41" s="7" t="inlineStr">
        <is>
          <t>Office</t>
        </is>
      </c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8">
        <f>IF(COUNT(D41:O41)=0,"",ROUND(AVERAGE(D41:O41),1))</f>
        <v/>
      </c>
      <c r="Q41" s="2">
        <f>IF(P41="","",IF(P41&gt;=90,"Outstanding",IF(P41&gt;=75,"On Track",IF(P41&gt;=60,"Improving","Needs Support"))))</f>
        <v/>
      </c>
    </row>
    <row r="42" ht="18" customHeight="1">
      <c r="A42" s="2" t="n">
        <v>37</v>
      </c>
      <c r="B42" s="4" t="inlineStr">
        <is>
          <t>HR &amp; Admin Office</t>
        </is>
      </c>
      <c r="C42" s="7" t="inlineStr">
        <is>
          <t>Office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8">
        <f>IF(COUNT(D42:O42)=0,"",ROUND(AVERAGE(D42:O42),1))</f>
        <v/>
      </c>
      <c r="Q42" s="2">
        <f>IF(P42="","",IF(P42&gt;=90,"Outstanding",IF(P42&gt;=75,"On Track",IF(P42&gt;=60,"Improving","Needs Support"))))</f>
        <v/>
      </c>
    </row>
    <row r="43" ht="18" customHeight="1">
      <c r="A43" s="2" t="n">
        <v>38</v>
      </c>
      <c r="B43" s="4" t="inlineStr">
        <is>
          <t>Purchase Office</t>
        </is>
      </c>
      <c r="C43" s="7" t="inlineStr">
        <is>
          <t>Office</t>
        </is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8">
        <f>IF(COUNT(D43:O43)=0,"",ROUND(AVERAGE(D43:O43),1))</f>
        <v/>
      </c>
      <c r="Q43" s="2">
        <f>IF(P43="","",IF(P43&gt;=90,"Outstanding",IF(P43&gt;=75,"On Track",IF(P43&gt;=60,"Improving","Needs Support"))))</f>
        <v/>
      </c>
    </row>
    <row r="44" ht="18" customHeight="1">
      <c r="A44" s="2" t="n">
        <v>39</v>
      </c>
      <c r="B44" s="4" t="inlineStr">
        <is>
          <t>Accounts Office</t>
        </is>
      </c>
      <c r="C44" s="7" t="inlineStr">
        <is>
          <t>Office</t>
        </is>
      </c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8">
        <f>IF(COUNT(D44:O44)=0,"",ROUND(AVERAGE(D44:O44),1))</f>
        <v/>
      </c>
      <c r="Q44" s="2">
        <f>IF(P44="","",IF(P44&gt;=90,"Outstanding",IF(P44&gt;=75,"On Track",IF(P44&gt;=60,"Improving","Needs Support"))))</f>
        <v/>
      </c>
    </row>
    <row r="45" ht="18" customHeight="1">
      <c r="A45" s="2" t="n">
        <v>40</v>
      </c>
      <c r="B45" s="4" t="inlineStr">
        <is>
          <t>Design / Engineering Office</t>
        </is>
      </c>
      <c r="C45" s="7" t="inlineStr">
        <is>
          <t>Office</t>
        </is>
      </c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8">
        <f>IF(COUNT(D45:O45)=0,"",ROUND(AVERAGE(D45:O45),1))</f>
        <v/>
      </c>
      <c r="Q45" s="2">
        <f>IF(P45="","",IF(P45&gt;=90,"Outstanding",IF(P45&gt;=75,"On Track",IF(P45&gt;=60,"Improving","Needs Support"))))</f>
        <v/>
      </c>
    </row>
    <row r="46" ht="18" customHeight="1">
      <c r="A46" s="2" t="n">
        <v>41</v>
      </c>
      <c r="B46" s="4" t="inlineStr">
        <is>
          <t>Marketing Office</t>
        </is>
      </c>
      <c r="C46" s="7" t="inlineStr">
        <is>
          <t>Office</t>
        </is>
      </c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8">
        <f>IF(COUNT(D46:O46)=0,"",ROUND(AVERAGE(D46:O46),1))</f>
        <v/>
      </c>
      <c r="Q46" s="2">
        <f>IF(P46="","",IF(P46&gt;=90,"Outstanding",IF(P46&gt;=75,"On Track",IF(P46&gt;=60,"Improving","Needs Support"))))</f>
        <v/>
      </c>
    </row>
    <row r="47" ht="18" customHeight="1">
      <c r="A47" s="2" t="n">
        <v>42</v>
      </c>
      <c r="B47" s="4" t="inlineStr">
        <is>
          <t>Production / PPC Office</t>
        </is>
      </c>
      <c r="C47" s="7" t="inlineStr">
        <is>
          <t>Office</t>
        </is>
      </c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8">
        <f>IF(COUNT(D47:O47)=0,"",ROUND(AVERAGE(D47:O47),1))</f>
        <v/>
      </c>
      <c r="Q47" s="2">
        <f>IF(P47="","",IF(P47&gt;=90,"Outstanding",IF(P47&gt;=75,"On Track",IF(P47&gt;=60,"Improving","Needs Support"))))</f>
        <v/>
      </c>
    </row>
    <row r="48" ht="18" customHeight="1">
      <c r="A48" s="2" t="n">
        <v>43</v>
      </c>
      <c r="B48" s="4" t="inlineStr">
        <is>
          <t>Stores Office</t>
        </is>
      </c>
      <c r="C48" s="7" t="inlineStr">
        <is>
          <t>Office</t>
        </is>
      </c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8">
        <f>IF(COUNT(D48:O48)=0,"",ROUND(AVERAGE(D48:O48),1))</f>
        <v/>
      </c>
      <c r="Q48" s="2">
        <f>IF(P48="","",IF(P48&gt;=90,"Outstanding",IF(P48&gt;=75,"On Track",IF(P48&gt;=60,"Improving","Needs Support"))))</f>
        <v/>
      </c>
    </row>
    <row r="49" ht="18" customHeight="1">
      <c r="A49" s="2" t="n">
        <v>44</v>
      </c>
      <c r="B49" s="4" t="inlineStr">
        <is>
          <t>IT / Server Room</t>
        </is>
      </c>
      <c r="C49" s="7" t="inlineStr">
        <is>
          <t>Office</t>
        </is>
      </c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8">
        <f>IF(COUNT(D49:O49)=0,"",ROUND(AVERAGE(D49:O49),1))</f>
        <v/>
      </c>
      <c r="Q49" s="2">
        <f>IF(P49="","",IF(P49&gt;=90,"Outstanding",IF(P49&gt;=75,"On Track",IF(P49&gt;=60,"Improving","Needs Support"))))</f>
        <v/>
      </c>
    </row>
    <row r="50" ht="18" customHeight="1">
      <c r="A50" s="2" t="n">
        <v>45</v>
      </c>
      <c r="B50" s="4" t="inlineStr">
        <is>
          <t>Training / Conference Room</t>
        </is>
      </c>
      <c r="C50" s="7" t="inlineStr">
        <is>
          <t>Office</t>
        </is>
      </c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8">
        <f>IF(COUNT(D50:O50)=0,"",ROUND(AVERAGE(D50:O50),1))</f>
        <v/>
      </c>
      <c r="Q50" s="2">
        <f>IF(P50="","",IF(P50&gt;=90,"Outstanding",IF(P50&gt;=75,"On Track",IF(P50&gt;=60,"Improving","Needs Support"))))</f>
        <v/>
      </c>
    </row>
    <row r="51" ht="18" customHeight="1">
      <c r="A51" s="2" t="n">
        <v>46</v>
      </c>
      <c r="B51" s="4" t="inlineStr">
        <is>
          <t>Security Gate &amp; Time Office</t>
        </is>
      </c>
      <c r="C51" s="7" t="inlineStr">
        <is>
          <t>Premises</t>
        </is>
      </c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8">
        <f>IF(COUNT(D51:O51)=0,"",ROUND(AVERAGE(D51:O51),1))</f>
        <v/>
      </c>
      <c r="Q51" s="2">
        <f>IF(P51="","",IF(P51&gt;=90,"Outstanding",IF(P51&gt;=75,"On Track",IF(P51&gt;=60,"Improving","Needs Support"))))</f>
        <v/>
      </c>
    </row>
    <row r="52" ht="18" customHeight="1">
      <c r="A52" s="2" t="n">
        <v>47</v>
      </c>
      <c r="B52" s="4" t="inlineStr">
        <is>
          <t>Canteen</t>
        </is>
      </c>
      <c r="C52" s="7" t="inlineStr">
        <is>
          <t>Premises</t>
        </is>
      </c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8">
        <f>IF(COUNT(D52:O52)=0,"",ROUND(AVERAGE(D52:O52),1))</f>
        <v/>
      </c>
      <c r="Q52" s="2">
        <f>IF(P52="","",IF(P52&gt;=90,"Outstanding",IF(P52&gt;=75,"On Track",IF(P52&gt;=60,"Improving","Needs Support"))))</f>
        <v/>
      </c>
    </row>
    <row r="53" ht="18" customHeight="1">
      <c r="A53" s="2" t="n">
        <v>48</v>
      </c>
      <c r="B53" s="4" t="inlineStr">
        <is>
          <t>Parking &amp; Internal Roads</t>
        </is>
      </c>
      <c r="C53" s="7" t="inlineStr">
        <is>
          <t>Premises</t>
        </is>
      </c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8">
        <f>IF(COUNT(D53:O53)=0,"",ROUND(AVERAGE(D53:O53),1))</f>
        <v/>
      </c>
      <c r="Q53" s="2">
        <f>IF(P53="","",IF(P53&gt;=90,"Outstanding",IF(P53&gt;=75,"On Track",IF(P53&gt;=60,"Improving","Needs Support"))))</f>
        <v/>
      </c>
    </row>
    <row r="54" ht="18" customHeight="1">
      <c r="A54" s="2" t="n">
        <v>49</v>
      </c>
      <c r="B54" s="4" t="inlineStr">
        <is>
          <t>Garden &amp; Boundary Premises</t>
        </is>
      </c>
      <c r="C54" s="7" t="inlineStr">
        <is>
          <t>Premises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8">
        <f>IF(COUNT(D54:O54)=0,"",ROUND(AVERAGE(D54:O54),1))</f>
        <v/>
      </c>
      <c r="Q54" s="2">
        <f>IF(P54="","",IF(P54&gt;=90,"Outstanding",IF(P54&gt;=75,"On Track",IF(P54&gt;=60,"Improving","Needs Support"))))</f>
        <v/>
      </c>
    </row>
    <row r="55" ht="18" customHeight="1">
      <c r="A55" s="2" t="n">
        <v>50</v>
      </c>
      <c r="B55" s="4" t="inlineStr">
        <is>
          <t>Scrap Yard</t>
        </is>
      </c>
      <c r="C55" s="7" t="inlineStr">
        <is>
          <t>Premises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8">
        <f>IF(COUNT(D55:O55)=0,"",ROUND(AVERAGE(D55:O55),1))</f>
        <v/>
      </c>
      <c r="Q55" s="2">
        <f>IF(P55="","",IF(P55&gt;=90,"Outstanding",IF(P55&gt;=75,"On Track",IF(P55&gt;=60,"Improving","Needs Support"))))</f>
        <v/>
      </c>
    </row>
    <row r="56">
      <c r="A56" s="35" t="inlineStr">
        <is>
          <t>PLANT MONTHLY AVERAGE</t>
        </is>
      </c>
      <c r="B56" s="44" t="n"/>
      <c r="C56" s="43" t="n"/>
      <c r="D56" s="9">
        <f>IF(COUNT(D6:D55)=0,"",ROUND(AVERAGE(D6:D55),1))</f>
        <v/>
      </c>
      <c r="E56" s="9">
        <f>IF(COUNT(E6:E55)=0,"",ROUND(AVERAGE(E6:E55),1))</f>
        <v/>
      </c>
      <c r="F56" s="9">
        <f>IF(COUNT(F6:F55)=0,"",ROUND(AVERAGE(F6:F55),1))</f>
        <v/>
      </c>
      <c r="G56" s="9">
        <f>IF(COUNT(G6:G55)=0,"",ROUND(AVERAGE(G6:G55),1))</f>
        <v/>
      </c>
      <c r="H56" s="9">
        <f>IF(COUNT(H6:H55)=0,"",ROUND(AVERAGE(H6:H55),1))</f>
        <v/>
      </c>
      <c r="I56" s="9">
        <f>IF(COUNT(I6:I55)=0,"",ROUND(AVERAGE(I6:I55),1))</f>
        <v/>
      </c>
      <c r="J56" s="9">
        <f>IF(COUNT(J6:J55)=0,"",ROUND(AVERAGE(J6:J55),1))</f>
        <v/>
      </c>
      <c r="K56" s="9">
        <f>IF(COUNT(K6:K55)=0,"",ROUND(AVERAGE(K6:K55),1))</f>
        <v/>
      </c>
      <c r="L56" s="9">
        <f>IF(COUNT(L6:L55)=0,"",ROUND(AVERAGE(L6:L55),1))</f>
        <v/>
      </c>
      <c r="M56" s="9">
        <f>IF(COUNT(M6:M55)=0,"",ROUND(AVERAGE(M6:M55),1))</f>
        <v/>
      </c>
      <c r="N56" s="9">
        <f>IF(COUNT(N6:N55)=0,"",ROUND(AVERAGE(N6:N55),1))</f>
        <v/>
      </c>
      <c r="O56" s="9">
        <f>IF(COUNT(O6:O55)=0,"",ROUND(AVERAGE(O6:O55),1))</f>
        <v/>
      </c>
      <c r="P56" s="9">
        <f>IF(COUNT(P6:P55)=0,"",ROUND(AVERAGE(P6:P55),1))</f>
        <v/>
      </c>
      <c r="Q56" s="10" t="n"/>
    </row>
  </sheetData>
  <mergeCells count="3">
    <mergeCell ref="A3:Q3"/>
    <mergeCell ref="A56:C56"/>
    <mergeCell ref="A1:Q1"/>
  </mergeCells>
  <dataValidations count="1">
    <dataValidation sqref="D6:O55" showDropDown="0" showInputMessage="0" showErrorMessage="1" allowBlank="1" errorTitle="Invalid score" error="Enter a score between 0 and 100" type="decimal">
      <formula1>0</formula1>
      <formula2>100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topLeftCell="A15" zoomScaleNormal="100" workbookViewId="0">
      <selection activeCell="B27" sqref="B27"/>
    </sheetView>
  </sheetViews>
  <sheetFormatPr baseColWidth="8" defaultColWidth="8.5703125" defaultRowHeight="15"/>
  <cols>
    <col width="6" customWidth="1" min="1" max="1"/>
    <col width="68" customWidth="1" min="2" max="2"/>
    <col width="12" customWidth="1" min="3" max="3"/>
    <col width="9" customWidth="1" min="4" max="4"/>
    <col width="32" customWidth="1" min="5" max="5"/>
    <col width="60" customWidth="1" min="6" max="6"/>
    <col width="60" customWidth="1" min="7" max="7"/>
  </cols>
  <sheetData>
    <row r="1" ht="25.5" customHeight="1">
      <c r="A1" s="29" t="inlineStr">
        <is>
          <t>5S AUDIT CHECK SHEET – SHOP FLOOR</t>
        </is>
      </c>
    </row>
    <row r="2" ht="15" customHeight="1">
      <c r="A2" s="14" t="inlineStr">
        <is>
          <t>Company:</t>
        </is>
      </c>
      <c r="B2" s="13" t="n"/>
      <c r="C2" s="14" t="inlineStr">
        <is>
          <t>Audit Date:</t>
        </is>
      </c>
      <c r="D2" s="13" t="n"/>
      <c r="E2" s="41" t="inlineStr">
        <is>
          <t>Scoring: Yes = 2 marks, No = 0 marks.
Max score = 100.</t>
        </is>
      </c>
    </row>
    <row r="3">
      <c r="A3" s="14" t="inlineStr">
        <is>
          <t>Area / Dept.:</t>
        </is>
      </c>
      <c r="B3" s="13" t="inlineStr">
        <is>
          <t>Shop Floor</t>
        </is>
      </c>
      <c r="C3" s="14" t="inlineStr">
        <is>
          <t>Auditor Name:</t>
        </is>
      </c>
      <c r="D3" s="13" t="n"/>
    </row>
    <row r="4">
      <c r="A4" s="14" t="inlineStr">
        <is>
          <t>Shift:</t>
        </is>
      </c>
      <c r="B4" s="13" t="n"/>
      <c r="C4" s="14" t="inlineStr">
        <is>
          <t>Auditee / Area Owner:</t>
        </is>
      </c>
      <c r="D4" s="13" t="n"/>
    </row>
    <row r="5"/>
    <row r="6" ht="19.5" customHeight="1">
      <c r="A6" s="1" t="inlineStr">
        <is>
          <t>Sr.</t>
        </is>
      </c>
      <c r="B6" s="1" t="inlineStr">
        <is>
          <t>Check Point</t>
        </is>
      </c>
      <c r="C6" s="1" t="inlineStr">
        <is>
          <t>Yes / No</t>
        </is>
      </c>
      <c r="D6" s="1" t="inlineStr">
        <is>
          <t>Marks</t>
        </is>
      </c>
      <c r="E6" s="1" t="inlineStr">
        <is>
          <t>Remarks / Observations</t>
        </is>
      </c>
      <c r="F6" s="1" t="inlineStr">
        <is>
          <t>Check Point (Hindi)</t>
        </is>
      </c>
      <c r="G6" s="1" t="inlineStr">
        <is>
          <t>Check Point (Marathi)</t>
        </is>
      </c>
    </row>
    <row r="7">
      <c r="A7" s="37" t="inlineStr">
        <is>
          <t>1S – SEIRI (SORT)</t>
        </is>
      </c>
      <c r="B7" s="44" t="n"/>
      <c r="C7" s="44" t="n"/>
      <c r="D7" s="44" t="n"/>
      <c r="E7" s="43" t="n"/>
      <c r="F7" s="43" t="n"/>
      <c r="G7" s="43" t="n"/>
    </row>
    <row r="8" ht="27.75" customHeight="1">
      <c r="A8" s="2" t="n">
        <v>1</v>
      </c>
      <c r="B8" s="3" t="inlineStr">
        <is>
          <t>Only required materials, tools and equipment are present at the workplace; unwanted items have been removed.</t>
        </is>
      </c>
      <c r="C8" s="11" t="n"/>
      <c r="D8" s="2">
        <f>IF(C8="Yes",2,0)</f>
        <v/>
      </c>
      <c r="E8" s="12" t="n"/>
      <c r="F8" s="45" t="inlineStr">
        <is>
          <t>कार्यस्थल पर केवल ज़रूरी सामग्री, औज़ार और उपकरण ही मौजूद हैं; अनावश्यक वस्तुएँ हटा दी गई हैं।</t>
        </is>
      </c>
      <c r="G8" s="45" t="inlineStr">
        <is>
          <t>कामाच्या ठिकाणी फक्त आवश्यक साहित्य, टूल्स आणि उपकरणे आहेत; नको असलेल्या वस्तू काढून टाकल्या आहेत.</t>
        </is>
      </c>
    </row>
    <row r="9" ht="27.75" customHeight="1">
      <c r="A9" s="2" t="n">
        <v>2</v>
      </c>
      <c r="B9" s="3" t="inlineStr">
        <is>
          <t>A red-tag area is defined, marked and used for holding unwanted / doubtful items.</t>
        </is>
      </c>
      <c r="C9" s="11" t="n"/>
      <c r="D9" s="2">
        <f>IF(C9="Yes",2,0)</f>
        <v/>
      </c>
      <c r="E9" s="12" t="n"/>
      <c r="F9" s="45" t="inlineStr">
        <is>
          <t>अनावश्यक वस्तुओं और जिन वस्तुओं की ज़रूरत पर संदेह है, उन्हें रखने के लिए रेड-टैग क्षेत्र तय है, चिह्नित है और उसका उपयोग होता है।</t>
        </is>
      </c>
      <c r="G9" s="45" t="inlineStr">
        <is>
          <t>नको असलेल्या वस्तू आणि ज्यांच्या गरजेबद्दल शंका आहे अशा वस्तू ठेवण्यासाठी रेड-टॅग क्षेत्र ठरवलेले आहे, आखलेले आहे आणि वापरले जाते.</t>
        </is>
      </c>
    </row>
    <row r="10" ht="27.75" customHeight="1">
      <c r="A10" s="2" t="n">
        <v>3</v>
      </c>
      <c r="B10" s="3" t="inlineStr">
        <is>
          <t>Red-tagged items are dispositioned (scrap / return / relocate) within the defined time limit.</t>
        </is>
      </c>
      <c r="C10" s="11" t="n"/>
      <c r="D10" s="2">
        <f>IF(C10="Yes",2,0)</f>
        <v/>
      </c>
      <c r="E10" s="12" t="n"/>
      <c r="F10" s="45" t="inlineStr">
        <is>
          <t>रेड-टैग लगी वस्तुओं पर निर्धारित समय-सीमा के भीतर निर्णय लेकर कार्रवाई होती है (स्क्रैप / वापसी / दूसरी जगह भेजना)।</t>
        </is>
      </c>
      <c r="G10" s="45" t="inlineStr">
        <is>
          <t>रेड-टॅग लावलेल्या वस्तूंवर ठरलेल्या वेळेत निर्णय घेऊन कार्यवाही होते (स्क्रॅप / परत पाठवणे / दुसरीकडे हलवणे).</t>
        </is>
      </c>
    </row>
    <row r="11" ht="27.75" customHeight="1">
      <c r="A11" s="2" t="n">
        <v>4</v>
      </c>
      <c r="B11" s="3" t="inlineStr">
        <is>
          <t>No obsolete or unused machines, dies, jigs or fixtures are lying on the shop floor.</t>
        </is>
      </c>
      <c r="C11" s="11" t="n"/>
      <c r="D11" s="2">
        <f>IF(C11="Yes",2,0)</f>
        <v/>
      </c>
      <c r="E11" s="12" t="n"/>
      <c r="F11" s="45" t="inlineStr">
        <is>
          <t>शॉप फ़्लोर पर कोई पुरानी या इस्तेमाल में न आने वाली मशीन, डाई, जिग या फ़िक्स्चर नहीं पड़ा है।</t>
        </is>
      </c>
      <c r="G11" s="45" t="inlineStr">
        <is>
          <t>शॉप फ्लोअरवर कोणतेही कालबाह्य किंवा न वापरलेले मशीन, डाय, जिग किंवा फिक्स्चर पडलेले नाही.</t>
        </is>
      </c>
    </row>
    <row r="12" ht="27.75" customHeight="1">
      <c r="A12" s="2" t="n">
        <v>5</v>
      </c>
      <c r="B12" s="3" t="inlineStr">
        <is>
          <t>Work-in-process (WIP) inventory is within the defined maximum quantity for each stage.</t>
        </is>
      </c>
      <c r="C12" s="11" t="n"/>
      <c r="D12" s="2">
        <f>IF(C12="Yes",2,0)</f>
        <v/>
      </c>
      <c r="E12" s="12" t="n"/>
      <c r="F12" s="45" t="inlineStr">
        <is>
          <t>हर चरण पर वर्क-इन-प्रोसेस (WIP) माल निर्धारित अधिकतम मात्रा के भीतर है।</t>
        </is>
      </c>
      <c r="G12" s="45" t="inlineStr">
        <is>
          <t>प्रत्येक टप्प्यावर वर्क-इन-प्रोसेस (WIP) माल ठरवलेल्या कमाल प्रमाणाच्या आत आहे.</t>
        </is>
      </c>
    </row>
    <row r="13" ht="27.75" customHeight="1">
      <c r="A13" s="2" t="n">
        <v>6</v>
      </c>
      <c r="B13" s="3" t="inlineStr">
        <is>
          <t>Scrap, rejections and rework items are segregated in identified red bins and cleared regularly.</t>
        </is>
      </c>
      <c r="C13" s="11" t="n"/>
      <c r="D13" s="2">
        <f>IF(C13="Yes",2,0)</f>
        <v/>
      </c>
      <c r="E13" s="12" t="n"/>
      <c r="F13" s="45" t="inlineStr">
        <is>
          <t>स्क्रैप, रिजेक्ट और रीवर्क वाला माल पहचान वाले लाल बिनों में अलग रखा जाता है और नियमित रूप से हटाया जाता है।</t>
        </is>
      </c>
      <c r="G13" s="45" t="inlineStr">
        <is>
          <t>स्क्रॅप, रिजेक्ट आणि रीवर्कचा माल ओळख असलेल्या लाल बिनमध्ये वेगळा ठेवला जातो आणि नियमितपणे हटवला जातो.</t>
        </is>
      </c>
    </row>
    <row r="14" ht="27.75" customHeight="1">
      <c r="A14" s="2" t="n">
        <v>7</v>
      </c>
      <c r="B14" s="3" t="inlineStr">
        <is>
          <t>Aisles, walkways and emergency exits are completely free of material and obstructions.</t>
        </is>
      </c>
      <c r="C14" s="11" t="n"/>
      <c r="D14" s="2">
        <f>IF(C14="Yes",2,0)</f>
        <v/>
      </c>
      <c r="E14" s="12" t="n"/>
      <c r="F14" s="45" t="inlineStr">
        <is>
          <t>गलियारे, पैदल रास्ते और आपातकालीन निकास पूरी तरह माल और रुकावटों से खाली हैं।</t>
        </is>
      </c>
      <c r="G14" s="45" t="inlineStr">
        <is>
          <t>मार्गिका, चालण्याचे मार्ग आणि आपत्कालीन बाहेर पडण्याचे मार्ग माल व अडथळ्यांपासून पूर्णपणे मोकळे आहेत.</t>
        </is>
      </c>
    </row>
    <row r="15" ht="27.75" customHeight="1">
      <c r="A15" s="2" t="n">
        <v>8</v>
      </c>
      <c r="B15" s="3" t="inlineStr">
        <is>
          <t>No broken pallets, damaged bins, empty cartons or packing waste are lying in the work area.</t>
        </is>
      </c>
      <c r="C15" s="11" t="n"/>
      <c r="D15" s="2">
        <f>IF(C15="Yes",2,0)</f>
        <v/>
      </c>
      <c r="E15" s="12" t="n"/>
      <c r="F15" s="45" t="inlineStr">
        <is>
          <t>कार्यक्षेत्र में टूटे पैलेट, खराब बिन, खाली कार्टन या पैकिंग का कचरा नहीं पड़ा है।</t>
        </is>
      </c>
      <c r="G15" s="45" t="inlineStr">
        <is>
          <t>कामाच्या जागेत तुटलेले पॅलेट, खराब बिन, रिकामे कार्टन किंवा पॅकिंगचा कचरा पडलेला नाही.</t>
        </is>
      </c>
    </row>
    <row r="16" ht="27.75" customHeight="1">
      <c r="A16" s="2" t="n">
        <v>9</v>
      </c>
      <c r="B16" s="3" t="inlineStr">
        <is>
          <t>Only current-revision documents and formats are available at workstations; obsolete papers removed.</t>
        </is>
      </c>
      <c r="C16" s="11" t="n"/>
      <c r="D16" s="2">
        <f>IF(C16="Yes",2,0)</f>
        <v/>
      </c>
      <c r="E16" s="12" t="n"/>
      <c r="F16" s="45" t="inlineStr">
        <is>
          <t>वर्कस्टेशन पर केवल नवीनतम रिविज़न के दस्तावेज़ और फ़ॉर्मेट उपलब्ध हैं; पुराने कागज़ हटा दिए गए हैं।</t>
        </is>
      </c>
      <c r="G16" s="45" t="inlineStr">
        <is>
          <t>वर्कस्टेशनवर फक्त चालू आवृत्तीचे (करंट रिव्हिजन) दस्तऐवज आणि फॉरमॅट उपलब्ध आहेत; जुने कागद काढून टाकले आहेत.</t>
        </is>
      </c>
    </row>
    <row r="17" ht="27.75" customHeight="1">
      <c r="A17" s="2" t="n">
        <v>10</v>
      </c>
      <c r="B17" s="3" t="inlineStr">
        <is>
          <t>No personal belongings (bags, food, clothing) are kept in the working area.</t>
        </is>
      </c>
      <c r="C17" s="11" t="n"/>
      <c r="D17" s="2">
        <f>IF(C17="Yes",2,0)</f>
        <v/>
      </c>
      <c r="E17" s="12" t="n"/>
      <c r="F17" s="45" t="inlineStr">
        <is>
          <t>कार्यक्षेत्र में कोई निजी सामान (बैग, खाना, कपड़े) नहीं रखा गया है।</t>
        </is>
      </c>
      <c r="G17" s="45" t="inlineStr">
        <is>
          <t>कामाच्या जागेत कोणतेही वैयक्तिक सामान (बॅग, जेवण, कपडे) ठेवलेले नाही.</t>
        </is>
      </c>
    </row>
    <row r="18">
      <c r="A18" s="38" t="inlineStr">
        <is>
          <t>Sub-total 1S (out of 20)</t>
        </is>
      </c>
      <c r="B18" s="44" t="n"/>
      <c r="C18" s="43" t="n"/>
      <c r="D18" s="15">
        <f>SUM(D8:D17)</f>
        <v/>
      </c>
      <c r="E18" s="16" t="n"/>
      <c r="F18" s="16" t="n"/>
      <c r="G18" s="16" t="n"/>
    </row>
    <row r="19">
      <c r="A19" s="37" t="inlineStr">
        <is>
          <t>2S – SEITON (SET IN ORDER)</t>
        </is>
      </c>
      <c r="B19" s="44" t="n"/>
      <c r="C19" s="44" t="n"/>
      <c r="D19" s="44" t="n"/>
      <c r="E19" s="43" t="n"/>
      <c r="F19" s="43" t="n"/>
      <c r="G19" s="43" t="n"/>
    </row>
    <row r="20" ht="27.75" customHeight="1">
      <c r="A20" s="2" t="n">
        <v>11</v>
      </c>
      <c r="B20" s="3" t="inlineStr">
        <is>
          <t>A designated, marked location exists for every item (material, tool, trolley, bin).</t>
        </is>
      </c>
      <c r="C20" s="11" t="n"/>
      <c r="D20" s="2">
        <f>IF(C20="Yes",2,0)</f>
        <v/>
      </c>
      <c r="E20" s="12" t="n"/>
      <c r="F20" s="45" t="inlineStr">
        <is>
          <t>हर वस्तु (सामग्री, औज़ार, ट्रॉली, बिन) के लिए एक तय और चिह्नित जगह है।</t>
        </is>
      </c>
      <c r="G20" s="45" t="inlineStr">
        <is>
          <t>प्रत्येक वस्तूसाठी (साहित्य, टूल, ट्रॉली, बिन) ठरवलेली आणि आखलेली जागा आहे.</t>
        </is>
      </c>
    </row>
    <row r="21" ht="27.75" customHeight="1">
      <c r="A21" s="2" t="n">
        <v>12</v>
      </c>
      <c r="B21" s="3" t="inlineStr">
        <is>
          <t>Floor markings (walkways, WIP areas, machine zones, scrap zones) are painted and clearly visible.</t>
        </is>
      </c>
      <c r="C21" s="11" t="n"/>
      <c r="D21" s="2">
        <f>IF(C21="Yes",2,0)</f>
        <v/>
      </c>
      <c r="E21" s="12" t="n"/>
      <c r="F21" s="45" t="inlineStr">
        <is>
          <t>फ़्लोर मार्किंग (पैदल रास्ते, WIP क्षेत्र, मशीन ज़ोन, स्क्रैप ज़ोन) पेंट की हुई है और साफ़ दिखाई देती है।</t>
        </is>
      </c>
      <c r="G21" s="45" t="inlineStr">
        <is>
          <t>फ्लोअर मार्किंग (चालण्याचे मार्ग, WIP क्षेत्र, मशीन झोन, स्क्रॅप झोन) रंगवलेली आहे आणि स्पष्ट दिसते.</t>
        </is>
      </c>
    </row>
    <row r="22" ht="27.75" customHeight="1">
      <c r="A22" s="2" t="n">
        <v>13</v>
      </c>
      <c r="B22" s="3" t="inlineStr">
        <is>
          <t>Tools are arranged on shadow boards / tool trolleys with outlines and labels.</t>
        </is>
      </c>
      <c r="C22" s="11" t="n"/>
      <c r="D22" s="2">
        <f>IF(C22="Yes",2,0)</f>
        <v/>
      </c>
      <c r="E22" s="12" t="n"/>
      <c r="F22" s="45" t="inlineStr">
        <is>
          <t>औज़ार शैडो बोर्ड / टूल ट्रॉली पर आकृति (आउटलाइन) और लेबल के साथ व्यवस्थित रखे हैं।</t>
        </is>
      </c>
      <c r="G22" s="45" t="inlineStr">
        <is>
          <t>टूल्स शॅडो बोर्ड / टूल ट्रॉलीवर बाह्यरेषा (आउटलाइन) आणि लेबलसह व्यवस्थित ठेवलेले आहेत.</t>
        </is>
      </c>
    </row>
    <row r="23" ht="27.75" customHeight="1">
      <c r="A23" s="2" t="n">
        <v>14</v>
      </c>
      <c r="B23" s="3" t="inlineStr">
        <is>
          <t>All racks, bins and storage locations are labelled with item name / code.</t>
        </is>
      </c>
      <c r="C23" s="11" t="n"/>
      <c r="D23" s="2">
        <f>IF(C23="Yes",2,0)</f>
        <v/>
      </c>
      <c r="E23" s="12" t="n"/>
      <c r="F23" s="45" t="inlineStr">
        <is>
          <t>सभी रैक, बिन और भंडारण स्थानों पर वस्तु का नाम / कोड लिखा लेबल लगा है।</t>
        </is>
      </c>
      <c r="G23" s="45" t="inlineStr">
        <is>
          <t>सर्व रॅक, बिन आणि साठवण्याच्या जागांवर वस्तूचे नाव / कोड असलेले लेबल लावलेले आहे.</t>
        </is>
      </c>
    </row>
    <row r="24" ht="27.75" customHeight="1">
      <c r="A24" s="2" t="n">
        <v>15</v>
      </c>
      <c r="B24" s="3" t="inlineStr">
        <is>
          <t>All materials on the floor carry identification tags (item, quantity, status).</t>
        </is>
      </c>
      <c r="C24" s="11" t="n"/>
      <c r="D24" s="2">
        <f>IF(C24="Yes",2,0)</f>
        <v/>
      </c>
      <c r="E24" s="12" t="n"/>
      <c r="F24" s="45" t="inlineStr">
        <is>
          <t>फ़्लोर पर रखे सभी माल पर पहचान टैग (वस्तु, मात्रा, स्थिति) लगा है।</t>
        </is>
      </c>
      <c r="G24" s="45" t="inlineStr">
        <is>
          <t>जमिनीवर ठेवलेल्या सर्व मालावर ओळख टॅग (वस्तू, प्रमाण, स्थिती) लावलेला आहे.</t>
        </is>
      </c>
    </row>
    <row r="25" ht="27.75" customHeight="1">
      <c r="A25" s="2" t="n">
        <v>16</v>
      </c>
      <c r="B25" s="3" t="inlineStr">
        <is>
          <t>Materials are arranged to enable FIFO (first-in first-out) usage.</t>
        </is>
      </c>
      <c r="C25" s="11" t="n"/>
      <c r="D25" s="2">
        <f>IF(C25="Yes",2,0)</f>
        <v/>
      </c>
      <c r="E25" s="12" t="n"/>
      <c r="F25" s="45" t="inlineStr">
        <is>
          <t>माल इस तरह रखा है कि FIFO (पहले आया, पहले इस्तेमाल) के अनुसार उपयोग हो सके।</t>
        </is>
      </c>
      <c r="G25" s="45" t="inlineStr">
        <is>
          <t>माल अशा प्रकारे ठेवलेला आहे की FIFO (आधी आलेला, आधी वापरला) नुसार वापर करता येईल.</t>
        </is>
      </c>
    </row>
    <row r="26" ht="27.75" customHeight="1">
      <c r="A26" s="2" t="n">
        <v>17</v>
      </c>
      <c r="B26" s="3" t="inlineStr">
        <is>
          <t>Frequently used items are placed close to the point of use at convenient height.</t>
        </is>
      </c>
      <c r="C26" s="11" t="n"/>
      <c r="D26" s="2">
        <f>IF(C26="Yes",2,0)</f>
        <v/>
      </c>
      <c r="E26" s="12" t="n"/>
      <c r="F26" s="45" t="inlineStr">
        <is>
          <t>बार-बार इस्तेमाल होने वाली वस्तुएँ उपयोग की जगह के पास, आसान ऊँचाई पर रखी हैं।</t>
        </is>
      </c>
      <c r="G26" s="45" t="inlineStr">
        <is>
          <t>वारंवार वापरल्या जाणाऱ्या वस्तू वापराच्या जागेजवळ, सोयीच्या उंचीवर ठेवलेल्या आहेत.</t>
        </is>
      </c>
    </row>
    <row r="27" ht="27.75" customHeight="1">
      <c r="A27" s="2" t="n">
        <v>18</v>
      </c>
      <c r="B27" s="3" t="inlineStr">
        <is>
          <t>Gauges, instruments and fixtures are stored in designated protected locations.</t>
        </is>
      </c>
      <c r="C27" s="11" t="n"/>
      <c r="D27" s="2">
        <f>IF(C27="Yes",2,0)</f>
        <v/>
      </c>
      <c r="E27" s="12" t="n"/>
      <c r="F27" s="45" t="inlineStr">
        <is>
          <t>गेज, इंस्ट्रूमेंट और फ़िक्स्चर तय और सुरक्षित जगहों पर रखे जाते हैं।</t>
        </is>
      </c>
      <c r="G27" s="45" t="inlineStr">
        <is>
          <t>गेज, इन्स्ट्रुमेंट आणि फिक्स्चर ठरवलेल्या सुरक्षित जागी ठेवले जातात.</t>
        </is>
      </c>
    </row>
    <row r="28" ht="27.75" customHeight="1">
      <c r="A28" s="2" t="n">
        <v>19</v>
      </c>
      <c r="B28" s="3" t="inlineStr">
        <is>
          <t>Cleaning equipment (brooms, mops, dustpans) has a fixed, marked storage place.</t>
        </is>
      </c>
      <c r="C28" s="11" t="n"/>
      <c r="D28" s="2">
        <f>IF(C28="Yes",2,0)</f>
        <v/>
      </c>
      <c r="E28" s="12" t="n"/>
      <c r="F28" s="45" t="inlineStr">
        <is>
          <t>सफ़ाई के सामान (झाड़ू, पोछा, डस्टपैन) के लिए एक तय और चिह्नित जगह है।</t>
        </is>
      </c>
      <c r="G28" s="45" t="inlineStr">
        <is>
          <t>स्वच्छतेच्या साहित्यासाठी (झाडू, पोछा, डस्टपॅन) ठरवलेली आणि आखलेली जागा आहे.</t>
        </is>
      </c>
    </row>
    <row r="29" ht="27.75" customHeight="1">
      <c r="A29" s="2" t="n">
        <v>20</v>
      </c>
      <c r="B29" s="3" t="inlineStr">
        <is>
          <t>No material or tools are placed directly on the floor; pallets / stands / bins are used.</t>
        </is>
      </c>
      <c r="C29" s="11" t="n"/>
      <c r="D29" s="2">
        <f>IF(C29="Yes",2,0)</f>
        <v/>
      </c>
      <c r="E29" s="12" t="n"/>
      <c r="F29" s="45" t="inlineStr">
        <is>
          <t>कोई भी माल या औज़ार सीधे फ़र्श पर नहीं रखा है; पैलेट / स्टैंड / बिन का उपयोग होता है।</t>
        </is>
      </c>
      <c r="G29" s="45" t="inlineStr">
        <is>
          <t>कोणताही माल किंवा टूल थेट जमिनीवर ठेवलेले नाही; पॅलेट / स्टँड / बिन वापरले जातात.</t>
        </is>
      </c>
    </row>
    <row r="30">
      <c r="A30" s="38" t="inlineStr">
        <is>
          <t>Sub-total 2S (out of 20)</t>
        </is>
      </c>
      <c r="B30" s="44" t="n"/>
      <c r="C30" s="43" t="n"/>
      <c r="D30" s="15">
        <f>SUM(D20:D29)</f>
        <v/>
      </c>
      <c r="E30" s="16" t="n"/>
      <c r="F30" s="16" t="n"/>
      <c r="G30" s="16" t="n"/>
    </row>
    <row r="31">
      <c r="A31" s="37" t="inlineStr">
        <is>
          <t>3S – SEISO (SHINE)</t>
        </is>
      </c>
      <c r="B31" s="44" t="n"/>
      <c r="C31" s="44" t="n"/>
      <c r="D31" s="44" t="n"/>
      <c r="E31" s="43" t="n"/>
      <c r="F31" s="43" t="n"/>
      <c r="G31" s="43" t="n"/>
    </row>
    <row r="32" ht="27.75" customHeight="1">
      <c r="A32" s="2" t="n">
        <v>21</v>
      </c>
      <c r="B32" s="3" t="inlineStr">
        <is>
          <t>Shop floor is clean – free of dust, oil, coolant and water spillage.</t>
        </is>
      </c>
      <c r="C32" s="11" t="n"/>
      <c r="D32" s="2">
        <f>IF(C32="Yes",2,0)</f>
        <v/>
      </c>
      <c r="E32" s="12" t="n"/>
      <c r="F32" s="45" t="inlineStr">
        <is>
          <t>शॉप फ़्लोर साफ़ है – धूल, तेल, कूलेंट और गिरे हुए पानी से मुक्त।</t>
        </is>
      </c>
      <c r="G32" s="45" t="inlineStr">
        <is>
          <t>शॉप फ्लोअर स्वच्छ आहे – धूळ, तेल, कूलंट आणि सांडलेले पाणी नाही.</t>
        </is>
      </c>
    </row>
    <row r="33" ht="27.75" customHeight="1">
      <c r="A33" s="2" t="n">
        <v>22</v>
      </c>
      <c r="B33" s="3" t="inlineStr">
        <is>
          <t>Machines and equipment are clean – no accumulation of dust, grease, chips or burrs.</t>
        </is>
      </c>
      <c r="C33" s="11" t="n"/>
      <c r="D33" s="2">
        <f>IF(C33="Yes",2,0)</f>
        <v/>
      </c>
      <c r="E33" s="12" t="n"/>
      <c r="F33" s="45" t="inlineStr">
        <is>
          <t>मशीनें और उपकरण साफ़ हैं – धूल, ग्रीस, चिप्स या बर (burr) जमा नहीं हैं।</t>
        </is>
      </c>
      <c r="G33" s="45" t="inlineStr">
        <is>
          <t>मशीन आणि उपकरणे स्वच्छ आहेत – धूळ, ग्रीस, चिप्स किंवा बर (burr) साचलेले नाहीत.</t>
        </is>
      </c>
    </row>
    <row r="34" ht="27.75" customHeight="1">
      <c r="A34" s="2" t="n">
        <v>23</v>
      </c>
      <c r="B34" s="3" t="inlineStr">
        <is>
          <t>Cleaning schedules with responsibility are displayed at each zone and are being followed.</t>
        </is>
      </c>
      <c r="C34" s="11" t="n"/>
      <c r="D34" s="2">
        <f>IF(C34="Yes",2,0)</f>
        <v/>
      </c>
      <c r="E34" s="12" t="n"/>
      <c r="F34" s="45" t="inlineStr">
        <is>
          <t>ज़िम्मेदारी सहित सफ़ाई का शेड्यूल हर ज़ोन में लगा है और उसका पालन हो रहा है।</t>
        </is>
      </c>
      <c r="G34" s="45" t="inlineStr">
        <is>
          <t>जबाबदारीसह स्वच्छतेचे वेळापत्रक प्रत्येक झोनमध्ये लावलेले आहे आणि त्याचे पालन होत आहे.</t>
        </is>
      </c>
    </row>
    <row r="35" ht="27.75" customHeight="1">
      <c r="A35" s="2" t="n">
        <v>24</v>
      </c>
      <c r="B35" s="3" t="inlineStr">
        <is>
          <t>There are no air, oil, water or coolant leakages from machines and pipelines.</t>
        </is>
      </c>
      <c r="C35" s="11" t="n"/>
      <c r="D35" s="2">
        <f>IF(C35="Yes",2,0)</f>
        <v/>
      </c>
      <c r="E35" s="12" t="n"/>
      <c r="F35" s="45" t="inlineStr">
        <is>
          <t>मशीनों और पाइपलाइनों से हवा, तेल, पानी या कूलेंट का कोई लीकेज नहीं है।</t>
        </is>
      </c>
      <c r="G35" s="45" t="inlineStr">
        <is>
          <t>मशीन आणि पाइपलाइनमधून हवा, तेल, पाणी किंवा कूलंटची कोणतीही गळती नाही.</t>
        </is>
      </c>
    </row>
    <row r="36" ht="27.75" customHeight="1">
      <c r="A36" s="2" t="n">
        <v>25</v>
      </c>
      <c r="B36" s="3" t="inlineStr">
        <is>
          <t>Dustbins are colour-coded for waste segregation, not overflowing, and emptied regularly.</t>
        </is>
      </c>
      <c r="C36" s="11" t="n"/>
      <c r="D36" s="2">
        <f>IF(C36="Yes",2,0)</f>
        <v/>
      </c>
      <c r="E36" s="12" t="n"/>
      <c r="F36" s="45" t="inlineStr">
        <is>
          <t>कचरा अलग करने के लिए कूड़ेदान रंग के अनुसार (कलर-कोड) हैं, भरकर बाहर नहीं गिर रहे और नियमित खाली किए जाते हैं।</t>
        </is>
      </c>
      <c r="G36" s="45" t="inlineStr">
        <is>
          <t>कचरा वेगळा करण्यासाठी कचराकुंड्या रंगानुसार (कलर-कोड) आहेत, भरून वाहत नाहीत आणि नियमितपणे रिकाम्या केल्या जातात.</t>
        </is>
      </c>
    </row>
    <row r="37" ht="27.75" customHeight="1">
      <c r="A37" s="2" t="n">
        <v>26</v>
      </c>
      <c r="B37" s="3" t="inlineStr">
        <is>
          <t>Windows, light fixtures, fans and exhausts are clean and in working condition.</t>
        </is>
      </c>
      <c r="C37" s="11" t="n"/>
      <c r="D37" s="2">
        <f>IF(C37="Yes",2,0)</f>
        <v/>
      </c>
      <c r="E37" s="12" t="n"/>
      <c r="F37" s="45" t="inlineStr">
        <is>
          <t>खिड़कियाँ, लाइट फ़िटिंग, पंखे और एग्ज़ॉस्ट साफ़ हैं और चालू हालत में हैं।</t>
        </is>
      </c>
      <c r="G37" s="45" t="inlineStr">
        <is>
          <t>खिडक्या, लाईट फिटिंग, पंखे आणि एक्झॉस्ट स्वच्छ आहेत आणि चालू स्थितीत आहेत.</t>
        </is>
      </c>
    </row>
    <row r="38" ht="27.75" customHeight="1">
      <c r="A38" s="2" t="n">
        <v>27</v>
      </c>
      <c r="B38" s="3" t="inlineStr">
        <is>
          <t>Adequate cleaning materials and consumables are available at the workplace.</t>
        </is>
      </c>
      <c r="C38" s="11" t="n"/>
      <c r="D38" s="2">
        <f>IF(C38="Yes",2,0)</f>
        <v/>
      </c>
      <c r="E38" s="12" t="n"/>
      <c r="F38" s="45" t="inlineStr">
        <is>
          <t>कार्यस्थल पर पर्याप्त सफ़ाई सामग्री और उपभोग्य सामान (कंज़्यूमेबल) उपलब्ध हैं।</t>
        </is>
      </c>
      <c r="G38" s="45" t="inlineStr">
        <is>
          <t>कामाच्या ठिकाणी पुरेसे स्वच्छतेचे साहित्य आणि कंझ्युमेबल्स उपलब्ध आहेत.</t>
        </is>
      </c>
    </row>
    <row r="39" ht="27.75" customHeight="1">
      <c r="A39" s="2" t="n">
        <v>28</v>
      </c>
      <c r="B39" s="3" t="inlineStr">
        <is>
          <t>Areas under, behind and around machines are clean and accessible.</t>
        </is>
      </c>
      <c r="C39" s="11" t="n"/>
      <c r="D39" s="2">
        <f>IF(C39="Yes",2,0)</f>
        <v/>
      </c>
      <c r="E39" s="12" t="n"/>
      <c r="F39" s="45" t="inlineStr">
        <is>
          <t>मशीनों के नीचे, पीछे और आसपास की जगह साफ़ है और वहाँ तक पहुँचा जा सकता है।</t>
        </is>
      </c>
      <c r="G39" s="45" t="inlineStr">
        <is>
          <t>मशीनच्या खाली, मागे आणि आजूबाजूची जागा स्वच्छ आहे आणि तिथपर्यंत पोहोचता येते.</t>
        </is>
      </c>
    </row>
    <row r="40" ht="27.75" customHeight="1">
      <c r="A40" s="2" t="n">
        <v>29</v>
      </c>
      <c r="B40" s="3" t="inlineStr">
        <is>
          <t>Drains, gutters and coolant trenches are clean and free-flowing.</t>
        </is>
      </c>
      <c r="C40" s="11" t="n"/>
      <c r="D40" s="2">
        <f>IF(C40="Yes",2,0)</f>
        <v/>
      </c>
      <c r="E40" s="12" t="n"/>
      <c r="F40" s="45" t="inlineStr">
        <is>
          <t>नालियाँ, गटर और कूलेंट ट्रेंच साफ़ हैं और पानी बिना रुकावट बहता है।</t>
        </is>
      </c>
      <c r="G40" s="45" t="inlineStr">
        <is>
          <t>नाले, गटार आणि कूलंट ट्रेंच स्वच्छ आहेत आणि पाणी अडथळ्याविना वाहते.</t>
        </is>
      </c>
    </row>
    <row r="41" ht="27.75" customHeight="1">
      <c r="A41" s="2" t="n">
        <v>30</v>
      </c>
      <c r="B41" s="3" t="inlineStr">
        <is>
          <t>Abnormalities found during cleaning (loose parts, leaks, cracks) are tagged and reported.</t>
        </is>
      </c>
      <c r="C41" s="11" t="n"/>
      <c r="D41" s="2">
        <f>IF(C41="Yes",2,0)</f>
        <v/>
      </c>
      <c r="E41" s="12" t="n"/>
      <c r="F41" s="45" t="inlineStr">
        <is>
          <t>सफ़ाई के दौरान मिली असामान्यताओं (ढीले पुर्ज़े, लीकेज, दरारें) पर टैग लगाकर रिपोर्ट किया जाता है।</t>
        </is>
      </c>
      <c r="G41" s="45" t="inlineStr">
        <is>
          <t>स्वच्छतेदरम्यान आढळलेल्या असामान्य गोष्टींवर (सैल भाग, गळती, भेगा) टॅग लावून त्या कळवल्या जातात.</t>
        </is>
      </c>
    </row>
    <row r="42">
      <c r="A42" s="38" t="inlineStr">
        <is>
          <t>Sub-total 3S (out of 20)</t>
        </is>
      </c>
      <c r="B42" s="44" t="n"/>
      <c r="C42" s="43" t="n"/>
      <c r="D42" s="15">
        <f>SUM(D32:D41)</f>
        <v/>
      </c>
      <c r="E42" s="16" t="n"/>
      <c r="F42" s="16" t="n"/>
      <c r="G42" s="16" t="n"/>
    </row>
    <row r="43">
      <c r="A43" s="37" t="inlineStr">
        <is>
          <t>4S – SEIKETSU (STANDARDIZE)</t>
        </is>
      </c>
      <c r="B43" s="44" t="n"/>
      <c r="C43" s="44" t="n"/>
      <c r="D43" s="44" t="n"/>
      <c r="E43" s="43" t="n"/>
      <c r="F43" s="43" t="n"/>
      <c r="G43" s="43" t="n"/>
    </row>
    <row r="44" ht="27.75" customHeight="1">
      <c r="A44" s="2" t="n">
        <v>31</v>
      </c>
      <c r="B44" s="3" t="inlineStr">
        <is>
          <t>5S zone map with zone-wise ownership / responsibility is displayed and updated.</t>
        </is>
      </c>
      <c r="C44" s="11" t="n"/>
      <c r="D44" s="2">
        <f>IF(C44="Yes",2,0)</f>
        <v/>
      </c>
      <c r="E44" s="12" t="n"/>
      <c r="F44" s="45" t="inlineStr">
        <is>
          <t>ज़ोन-वार स्वामित्व / ज़िम्मेदारी वाला 5S ज़ोन मैप लगा है और अपडेट रहता है।</t>
        </is>
      </c>
      <c r="G44" s="45" t="inlineStr">
        <is>
          <t>झोननिहाय मालकी / जबाबदारी दाखवणारा 5S झोन मॅप लावलेला आहे आणि अद्ययावत ठेवला जातो.</t>
        </is>
      </c>
    </row>
    <row r="45" ht="27.75" customHeight="1">
      <c r="A45" s="2" t="n">
        <v>32</v>
      </c>
      <c r="B45" s="3" t="inlineStr">
        <is>
          <t>Visual standards (photographs of the desired condition) are displayed for key areas.</t>
        </is>
      </c>
      <c r="C45" s="11" t="n"/>
      <c r="D45" s="2">
        <f>IF(C45="Yes",2,0)</f>
        <v/>
      </c>
      <c r="E45" s="12" t="n"/>
      <c r="F45" s="45" t="inlineStr">
        <is>
          <t>मुख्य क्षेत्रों के लिए दृश्य मानक (वांछित स्थिति की फ़ोटो) लगाए गए हैं।</t>
        </is>
      </c>
      <c r="G45" s="45" t="inlineStr">
        <is>
          <t>महत्त्वाच्या भागांसाठी दृश्य मानके (अपेक्षित स्थितीचे फोटो) लावलेली आहेत.</t>
        </is>
      </c>
    </row>
    <row r="46" ht="27.75" customHeight="1">
      <c r="A46" s="2" t="n">
        <v>33</v>
      </c>
      <c r="B46" s="3" t="inlineStr">
        <is>
          <t>Standard colour codes for floor marking, pipelines and bins are defined and followed.</t>
        </is>
      </c>
      <c r="C46" s="11" t="n"/>
      <c r="D46" s="2">
        <f>IF(C46="Yes",2,0)</f>
        <v/>
      </c>
      <c r="E46" s="12" t="n"/>
      <c r="F46" s="45" t="inlineStr">
        <is>
          <t>फ़्लोर मार्किंग, पाइपलाइन और बिनों के लिए मानक कलर-कोड तय हैं और उनका पालन होता है।</t>
        </is>
      </c>
      <c r="G46" s="45" t="inlineStr">
        <is>
          <t>फ्लोअर मार्किंग, पाइपलाइन आणि बिनसाठी प्रमाणित कलर-कोड ठरवलेले आहेत आणि त्यांचे पालन होते.</t>
        </is>
      </c>
    </row>
    <row r="47" ht="27.75" customHeight="1">
      <c r="A47" s="2" t="n">
        <v>34</v>
      </c>
      <c r="B47" s="3" t="inlineStr">
        <is>
          <t>Daily / weekly 5S checklists are available at workstations and filled regularly.</t>
        </is>
      </c>
      <c r="C47" s="11" t="n"/>
      <c r="D47" s="2">
        <f>IF(C47="Yes",2,0)</f>
        <v/>
      </c>
      <c r="E47" s="12" t="n"/>
      <c r="F47" s="45" t="inlineStr">
        <is>
          <t>दैनिक / साप्ताहिक 5S चेकलिस्ट वर्कस्टेशन पर उपलब्ध हैं और नियमित रूप से भरी जाती हैं।</t>
        </is>
      </c>
      <c r="G47" s="45" t="inlineStr">
        <is>
          <t>दैनंदिन / साप्ताहिक 5S चेकलिस्ट वर्कस्टेशनवर उपलब्ध आहेत आणि नियमितपणे भरल्या जातात.</t>
        </is>
      </c>
    </row>
    <row r="48" ht="27.75" customHeight="1">
      <c r="A48" s="2" t="n">
        <v>35</v>
      </c>
      <c r="B48" s="3" t="inlineStr">
        <is>
          <t>Labels, signboards and identification formats are standardized across the shop floor.</t>
        </is>
      </c>
      <c r="C48" s="11" t="n"/>
      <c r="D48" s="2">
        <f>IF(C48="Yes",2,0)</f>
        <v/>
      </c>
      <c r="E48" s="12" t="n"/>
      <c r="F48" s="45" t="inlineStr">
        <is>
          <t>पूरे शॉप फ़्लोर पर लेबल, साइनबोर्ड और पहचान फ़ॉर्मेट एक समान (मानकीकृत) हैं।</t>
        </is>
      </c>
      <c r="G48" s="45" t="inlineStr">
        <is>
          <t>संपूर्ण शॉप फ्लोअरवर लेबल, साइनबोर्ड आणि ओळख फॉरमॅट एकसारखे (प्रमाणित) आहेत.</t>
        </is>
      </c>
    </row>
    <row r="49" ht="27.75" customHeight="1">
      <c r="A49" s="2" t="n">
        <v>36</v>
      </c>
      <c r="B49" s="3" t="inlineStr">
        <is>
          <t>Work instructions / SOPs are displayed at workstations in the standard format.</t>
        </is>
      </c>
      <c r="C49" s="11" t="n"/>
      <c r="D49" s="2">
        <f>IF(C49="Yes",2,0)</f>
        <v/>
      </c>
      <c r="E49" s="12" t="n"/>
      <c r="F49" s="45" t="inlineStr">
        <is>
          <t>कार्य निर्देश / SOP मानक फ़ॉर्मेट में वर्कस्टेशन पर लगे हैं।</t>
        </is>
      </c>
      <c r="G49" s="45" t="inlineStr">
        <is>
          <t>कार्य सूचना / SOP प्रमाणित फॉरमॅटमध्ये वर्कस्टेशनवर लावलेल्या आहेत.</t>
        </is>
      </c>
    </row>
    <row r="50" ht="27.75" customHeight="1">
      <c r="A50" s="2" t="n">
        <v>37</v>
      </c>
      <c r="B50" s="3" t="inlineStr">
        <is>
          <t>Safety signages (PPE, caution, fire, first-aid) are displayed at required locations.</t>
        </is>
      </c>
      <c r="C50" s="11" t="n"/>
      <c r="D50" s="2">
        <f>IF(C50="Yes",2,0)</f>
        <v/>
      </c>
      <c r="E50" s="12" t="n"/>
      <c r="F50" s="45" t="inlineStr">
        <is>
          <t>सुरक्षा साइनबोर्ड (PPE, सावधानी, आग, प्राथमिक चिकित्सा) ज़रूरी जगहों पर लगे हैं।</t>
        </is>
      </c>
      <c r="G50" s="45" t="inlineStr">
        <is>
          <t>सुरक्षा फलक (PPE, सावधानता, आग, प्रथमोपचार) आवश्यक ठिकाणी लावलेले आहेत.</t>
        </is>
      </c>
    </row>
    <row r="51" ht="27.75" customHeight="1">
      <c r="A51" s="2" t="n">
        <v>38</v>
      </c>
      <c r="B51" s="3" t="inlineStr">
        <is>
          <t>Before / after improvement photographs are displayed on the 5S activity board.</t>
        </is>
      </c>
      <c r="C51" s="11" t="n"/>
      <c r="D51" s="2">
        <f>IF(C51="Yes",2,0)</f>
        <v/>
      </c>
      <c r="E51" s="12" t="n"/>
      <c r="F51" s="45" t="inlineStr">
        <is>
          <t>सुधार से पहले / बाद की फ़ोटो 5S गतिविधि बोर्ड पर लगी हैं।</t>
        </is>
      </c>
      <c r="G51" s="45" t="inlineStr">
        <is>
          <t>सुधारणेपूर्वीचे / नंतरचे फोटो 5S उपक्रम फलकावर लावलेले आहेत.</t>
        </is>
      </c>
    </row>
    <row r="52" ht="27.75" customHeight="1">
      <c r="A52" s="2" t="n">
        <v>39</v>
      </c>
      <c r="B52" s="3" t="inlineStr">
        <is>
          <t>A standard exists for waste segregation and disposal frequency and is followed.</t>
        </is>
      </c>
      <c r="C52" s="11" t="n"/>
      <c r="D52" s="2">
        <f>IF(C52="Yes",2,0)</f>
        <v/>
      </c>
      <c r="E52" s="12" t="n"/>
      <c r="F52" s="45" t="inlineStr">
        <is>
          <t>कचरा अलग करने और उसे हटाने की आवृत्ति के लिए मानक है और उसका पालन होता है।</t>
        </is>
      </c>
      <c r="G52" s="45" t="inlineStr">
        <is>
          <t>कचरा वेगळा करणे आणि तो किती वेळा हटवायचा यासाठी मानक आहे आणि त्याचे पालन होते.</t>
        </is>
      </c>
    </row>
    <row r="53" ht="27.75" customHeight="1">
      <c r="A53" s="2" t="n">
        <v>40</v>
      </c>
      <c r="B53" s="3" t="inlineStr">
        <is>
          <t>Latest 5S audit scores and trends are displayed on the 5S board.</t>
        </is>
      </c>
      <c r="C53" s="11" t="n"/>
      <c r="D53" s="2">
        <f>IF(C53="Yes",2,0)</f>
        <v/>
      </c>
      <c r="E53" s="12" t="n"/>
      <c r="F53" s="45" t="inlineStr">
        <is>
          <t>नवीनतम 5S ऑडिट स्कोर और उनका रुझान 5S बोर्ड पर दिखाया गया है।</t>
        </is>
      </c>
      <c r="G53" s="45" t="inlineStr">
        <is>
          <t>अलीकडील 5S ऑडिट स्कोअर आणि त्यांचा कल 5S फलकावर दाखवलेला आहे.</t>
        </is>
      </c>
    </row>
    <row r="54">
      <c r="A54" s="38" t="inlineStr">
        <is>
          <t>Sub-total 4S (out of 20)</t>
        </is>
      </c>
      <c r="B54" s="44" t="n"/>
      <c r="C54" s="43" t="n"/>
      <c r="D54" s="15">
        <f>SUM(D44:D53)</f>
        <v/>
      </c>
      <c r="E54" s="16" t="n"/>
      <c r="F54" s="16" t="n"/>
      <c r="G54" s="16" t="n"/>
    </row>
    <row r="55">
      <c r="A55" s="37" t="inlineStr">
        <is>
          <t>5S – SHITSUKE (SUSTAIN)</t>
        </is>
      </c>
      <c r="B55" s="44" t="n"/>
      <c r="C55" s="44" t="n"/>
      <c r="D55" s="44" t="n"/>
      <c r="E55" s="43" t="n"/>
      <c r="F55" s="43" t="n"/>
      <c r="G55" s="43" t="n"/>
    </row>
    <row r="56" ht="27.75" customHeight="1">
      <c r="A56" s="2" t="n">
        <v>41</v>
      </c>
      <c r="B56" s="3" t="inlineStr">
        <is>
          <t>All employees in the area have received 5S training (records available).</t>
        </is>
      </c>
      <c r="C56" s="11" t="n"/>
      <c r="D56" s="2">
        <f>IF(C56="Yes",2,0)</f>
        <v/>
      </c>
      <c r="E56" s="12" t="n"/>
      <c r="F56" s="45" t="inlineStr">
        <is>
          <t>इस क्षेत्र के सभी कर्मचारियों को 5S प्रशिक्षण मिला है (रिकॉर्ड उपलब्ध)।</t>
        </is>
      </c>
      <c r="G56" s="45" t="inlineStr">
        <is>
          <t>या क्षेत्रातील सर्व कर्मचाऱ्यांना 5S प्रशिक्षण मिळाले आहे (नोंदी उपलब्ध).</t>
        </is>
      </c>
    </row>
    <row r="57" ht="27.75" customHeight="1">
      <c r="A57" s="2" t="n">
        <v>42</v>
      </c>
      <c r="B57" s="3" t="inlineStr">
        <is>
          <t>5S audits are conducted as per the defined schedule without slippage.</t>
        </is>
      </c>
      <c r="C57" s="11" t="n"/>
      <c r="D57" s="2">
        <f>IF(C57="Yes",2,0)</f>
        <v/>
      </c>
      <c r="E57" s="12" t="n"/>
      <c r="F57" s="45" t="inlineStr">
        <is>
          <t>5S ऑडिट तय शेड्यूल के अनुसार बिना देरी के होते हैं।</t>
        </is>
      </c>
      <c r="G57" s="45" t="inlineStr">
        <is>
          <t>5S ऑडिट ठरलेल्या वेळापत्रकानुसार उशीर न करता होतात.</t>
        </is>
      </c>
    </row>
    <row r="58" ht="27.75" customHeight="1">
      <c r="A58" s="2" t="n">
        <v>43</v>
      </c>
      <c r="B58" s="3" t="inlineStr">
        <is>
          <t>Corrective actions on previous audit non-conformities are closed on time.</t>
        </is>
      </c>
      <c r="C58" s="11" t="n"/>
      <c r="D58" s="2">
        <f>IF(C58="Yes",2,0)</f>
        <v/>
      </c>
      <c r="E58" s="12" t="n"/>
      <c r="F58" s="45" t="inlineStr">
        <is>
          <t>पिछले ऑडिट में मिली कमियों पर सुधारात्मक कार्रवाई समय पर पूरी की जाती है।</t>
        </is>
      </c>
      <c r="G58" s="45" t="inlineStr">
        <is>
          <t>मागील ऑडिटमध्ये आढळलेल्या त्रुटींवरील सुधारात्मक कार्यवाही वेळेत पूर्ण केली जाते.</t>
        </is>
      </c>
    </row>
    <row r="59" ht="27.75" customHeight="1">
      <c r="A59" s="2" t="n">
        <v>44</v>
      </c>
      <c r="B59" s="3" t="inlineStr">
        <is>
          <t>Employees follow workplace discipline – PPE usage, gangway discipline, machine rules.</t>
        </is>
      </c>
      <c r="C59" s="11" t="n"/>
      <c r="D59" s="2">
        <f>IF(C59="Yes",2,0)</f>
        <v/>
      </c>
      <c r="E59" s="12" t="n"/>
      <c r="F59" s="45" t="inlineStr">
        <is>
          <t>कर्मचारी कार्यस्थल अनुशासन का पालन करते हैं – PPE पहनना, गलियारे का अनुशासन, मशीन के नियम।</t>
        </is>
      </c>
      <c r="G59" s="45" t="inlineStr">
        <is>
          <t>कर्मचारी कामाच्या ठिकाणची शिस्त पाळतात – PPE वापरणे, मार्गिकेची शिस्त, मशीनचे नियम.</t>
        </is>
      </c>
    </row>
    <row r="60" ht="27.75" customHeight="1">
      <c r="A60" s="2" t="n">
        <v>45</v>
      </c>
      <c r="B60" s="3" t="inlineStr">
        <is>
          <t>Daily 5 to 10 minutes of 5S activity (autonomous cleaning) is practiced by all.</t>
        </is>
      </c>
      <c r="C60" s="11" t="n"/>
      <c r="D60" s="2">
        <f>IF(C60="Yes",2,0)</f>
        <v/>
      </c>
      <c r="E60" s="12" t="n"/>
      <c r="F60" s="45" t="inlineStr">
        <is>
          <t>सभी लोग रोज़ 5 से 10 मिनट 5S गतिविधि (स्वयं सफ़ाई) करते हैं।</t>
        </is>
      </c>
      <c r="G60" s="45" t="inlineStr">
        <is>
          <t>सर्वजण दररोज 5 ते 10 मिनिटे 5S उपक्रम (स्वतःहून स्वच्छता) करतात.</t>
        </is>
      </c>
    </row>
    <row r="61" ht="27.75" customHeight="1">
      <c r="A61" s="2" t="n">
        <v>46</v>
      </c>
      <c r="B61" s="3" t="inlineStr">
        <is>
          <t>A reward / recognition system for best 5S zone or employee exists and is active.</t>
        </is>
      </c>
      <c r="C61" s="11" t="n"/>
      <c r="D61" s="2">
        <f>IF(C61="Yes",2,0)</f>
        <v/>
      </c>
      <c r="E61" s="12" t="n"/>
      <c r="F61" s="45" t="inlineStr">
        <is>
          <t>सबसे अच्छे 5S ज़ोन या कर्मचारी के लिए पुरस्कार / सम्मान की व्यवस्था है और वह सक्रिय है।</t>
        </is>
      </c>
      <c r="G61" s="45" t="inlineStr">
        <is>
          <t>सर्वोत्तम 5S झोन किंवा कर्मचाऱ्यासाठी बक्षीस / सन्मानाची व्यवस्था आहे आणि ती सुरू आहे.</t>
        </is>
      </c>
    </row>
    <row r="62" ht="27.75" customHeight="1">
      <c r="A62" s="2" t="n">
        <v>47</v>
      </c>
      <c r="B62" s="3" t="inlineStr">
        <is>
          <t>Management periodically reviews 5S performance in the area (MRM / Gemba walk).</t>
        </is>
      </c>
      <c r="C62" s="11" t="n"/>
      <c r="D62" s="2">
        <f>IF(C62="Yes",2,0)</f>
        <v/>
      </c>
      <c r="E62" s="12" t="n"/>
      <c r="F62" s="45" t="inlineStr">
        <is>
          <t>प्रबंधन समय-समय पर इस क्षेत्र के 5S प्रदर्शन की समीक्षा करता है (MRM / गेम्बा वॉक)।</t>
        </is>
      </c>
      <c r="G62" s="45" t="inlineStr">
        <is>
          <t>व्यवस्थापन वेळोवेळी या क्षेत्राच्या 5S कामगिरीचा आढावा घेते (MRM / गेम्बा वॉक).</t>
        </is>
      </c>
    </row>
    <row r="63" ht="27.75" customHeight="1">
      <c r="A63" s="2" t="n">
        <v>48</v>
      </c>
      <c r="B63" s="3" t="inlineStr">
        <is>
          <t>Employees give kaizen / suggestions related to 5S and workplace improvement.</t>
        </is>
      </c>
      <c r="C63" s="11" t="n"/>
      <c r="D63" s="2">
        <f>IF(C63="Yes",2,0)</f>
        <v/>
      </c>
      <c r="E63" s="12" t="n"/>
      <c r="F63" s="45" t="inlineStr">
        <is>
          <t>कर्मचारी 5S और कार्यस्थल सुधार से जुड़े काइज़ेन / सुझाव देते हैं।</t>
        </is>
      </c>
      <c r="G63" s="45" t="inlineStr">
        <is>
          <t>कर्मचारी 5S आणि कामाच्या ठिकाणच्या सुधारणेशी संबंधित कायझेन / सूचना देतात.</t>
        </is>
      </c>
    </row>
    <row r="64" ht="27.75" customHeight="1">
      <c r="A64" s="2" t="n">
        <v>49</v>
      </c>
      <c r="B64" s="3" t="inlineStr">
        <is>
          <t>5S condition is maintained even without supervision (surprise check basis).</t>
        </is>
      </c>
      <c r="C64" s="11" t="n"/>
      <c r="D64" s="2">
        <f>IF(C64="Yes",2,0)</f>
        <v/>
      </c>
      <c r="E64" s="12" t="n"/>
      <c r="F64" s="45" t="inlineStr">
        <is>
          <t>बिना निगरानी के भी 5S की स्थिति बनी रहती है (अचानक जाँच के आधार पर)।</t>
        </is>
      </c>
      <c r="G64" s="45" t="inlineStr">
        <is>
          <t>देखरेख नसतानाही 5S ची स्थिती टिकून राहते (अचानक तपासणीच्या आधारे).</t>
        </is>
      </c>
    </row>
    <row r="65" ht="27.75" customHeight="1">
      <c r="A65" s="2" t="n">
        <v>50</v>
      </c>
      <c r="B65" s="3" t="inlineStr">
        <is>
          <t>5S audit score trend for the area is stable or improving over the last 3 audits.</t>
        </is>
      </c>
      <c r="C65" s="11" t="n"/>
      <c r="D65" s="2">
        <f>IF(C65="Yes",2,0)</f>
        <v/>
      </c>
      <c r="E65" s="12" t="n"/>
      <c r="F65" s="45" t="inlineStr">
        <is>
          <t>पिछले 3 ऑडिट में इस क्षेत्र का 5S ऑडिट स्कोर स्थिर है या बेहतर हो रहा है।</t>
        </is>
      </c>
      <c r="G65" s="45" t="inlineStr">
        <is>
          <t>मागील 3 ऑडिटमध्ये या क्षेत्राचा 5S ऑडिट स्कोअर स्थिर आहे किंवा सुधारत आहे.</t>
        </is>
      </c>
    </row>
    <row r="66">
      <c r="A66" s="38" t="inlineStr">
        <is>
          <t>Sub-total 5S (out of 20)</t>
        </is>
      </c>
      <c r="B66" s="44" t="n"/>
      <c r="C66" s="43" t="n"/>
      <c r="D66" s="15">
        <f>SUM(D56:D65)</f>
        <v/>
      </c>
      <c r="E66" s="16" t="n"/>
      <c r="F66" s="16" t="n"/>
      <c r="G66" s="16" t="n"/>
    </row>
    <row r="67">
      <c r="A67" s="39" t="inlineStr">
        <is>
          <t>TOTAL SCORE (out of 100)</t>
        </is>
      </c>
      <c r="B67" s="44" t="n"/>
      <c r="C67" s="43" t="n"/>
      <c r="D67" s="17">
        <f>D18+D30+D42+D54+D66</f>
        <v/>
      </c>
      <c r="E67" s="10" t="n"/>
      <c r="F67" s="10" t="n"/>
      <c r="G67" s="10" t="n"/>
    </row>
    <row r="68">
      <c r="A68" s="40" t="inlineStr">
        <is>
          <t>PERCENTAGE</t>
        </is>
      </c>
      <c r="B68" s="44" t="n"/>
      <c r="C68" s="43" t="n"/>
      <c r="D68" s="18">
        <f>D67/100</f>
        <v/>
      </c>
      <c r="E68" s="19" t="n"/>
      <c r="F68" s="19" t="n"/>
      <c r="G68" s="19" t="n"/>
    </row>
    <row r="69">
      <c r="A69" s="40" t="inlineStr">
        <is>
          <t>RATING</t>
        </is>
      </c>
      <c r="B69" s="44" t="n"/>
      <c r="C69" s="43" t="n"/>
      <c r="D69" s="21">
        <f>IF(D68&gt;=0.9,"Outstanding",IF(D68&gt;=0.75,"On Track",IF(D68&gt;=0.6,"Improving","Needs Support")))</f>
        <v/>
      </c>
      <c r="E69" s="19" t="n"/>
      <c r="F69" s="19" t="n"/>
      <c r="G69" s="19" t="n"/>
    </row>
    <row r="70"/>
    <row r="71">
      <c r="A71" s="36" t="inlineStr">
        <is>
          <t>Rating scale:  ≥ 90% Outstanding  |  75–89% On Track  |  60–74% Improving  |  &lt; 60% Needs Support.  Points scored 'No' must be entered in the corrective action tracker.</t>
        </is>
      </c>
    </row>
    <row r="72"/>
    <row r="73">
      <c r="B73" s="20" t="inlineStr">
        <is>
          <t>Auditor Signature: ______________________</t>
        </is>
      </c>
      <c r="E73" s="20" t="inlineStr">
        <is>
          <t>Area Owner Signature: ______________________</t>
        </is>
      </c>
      <c r="F73" s="20" t="n"/>
      <c r="G73" s="20" t="n"/>
    </row>
    <row r="74">
      <c r="A74" s="22" t="inlineStr">
        <is>
          <t>Prepared by AB Associates, Nashik.</t>
        </is>
      </c>
    </row>
  </sheetData>
  <mergeCells count="16">
    <mergeCell ref="A42:C42"/>
    <mergeCell ref="A55:E55"/>
    <mergeCell ref="A68:C68"/>
    <mergeCell ref="A66:C66"/>
    <mergeCell ref="A43:E43"/>
    <mergeCell ref="A7:E7"/>
    <mergeCell ref="A19:E19"/>
    <mergeCell ref="A71:E71"/>
    <mergeCell ref="A18:C18"/>
    <mergeCell ref="A67:C67"/>
    <mergeCell ref="A1:E1"/>
    <mergeCell ref="A30:C30"/>
    <mergeCell ref="A69:C69"/>
    <mergeCell ref="A31:E31"/>
    <mergeCell ref="A54:C54"/>
    <mergeCell ref="E2:E4"/>
  </mergeCells>
  <dataValidations count="1">
    <dataValidation sqref="C8:C17 C20:C29 C32:C41 C44:C53 C56:C65" showDropDown="0" showInputMessage="0" showErrorMessage="1" allowBlank="1" errorTitle="Invalid entry" error="Please select Yes or No" type="list">
      <formula1>"Yes,No"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zoomScaleNormal="100" workbookViewId="0">
      <selection activeCell="H3" sqref="H3"/>
    </sheetView>
  </sheetViews>
  <sheetFormatPr baseColWidth="8" defaultColWidth="8.5703125" defaultRowHeight="15"/>
  <cols>
    <col width="10.28515625" customWidth="1" min="1" max="1"/>
    <col width="68" customWidth="1" min="2" max="2"/>
    <col width="16.7109375" customWidth="1" min="3" max="3"/>
    <col width="11" customWidth="1" min="4" max="4"/>
    <col width="32" customWidth="1" min="5" max="5"/>
    <col width="60" customWidth="1" min="6" max="6"/>
    <col width="60" customWidth="1" min="7" max="7"/>
  </cols>
  <sheetData>
    <row r="1" ht="25.5" customHeight="1">
      <c r="A1" s="29" t="inlineStr">
        <is>
          <t>5S AUDIT CHECK SHEET – OFFICE</t>
        </is>
      </c>
    </row>
    <row r="2" ht="15" customHeight="1">
      <c r="A2" s="23" t="inlineStr">
        <is>
          <t>Company:</t>
        </is>
      </c>
      <c r="B2" s="24" t="n"/>
      <c r="C2" s="23" t="inlineStr">
        <is>
          <t>Audit Date:</t>
        </is>
      </c>
      <c r="D2" s="24" t="n"/>
      <c r="E2" s="42" t="inlineStr">
        <is>
          <t>Scoring: Yes = 2 marks, No = 0 marks.
Max score = 100.</t>
        </is>
      </c>
    </row>
    <row r="3" ht="25.5" customHeight="1">
      <c r="A3" s="25" t="inlineStr">
        <is>
          <t>Area / Dept.:</t>
        </is>
      </c>
      <c r="B3" s="24" t="n"/>
      <c r="C3" s="23" t="inlineStr">
        <is>
          <t>Auditor Name:</t>
        </is>
      </c>
      <c r="D3" s="24" t="n"/>
      <c r="E3" s="46" t="n"/>
    </row>
    <row r="4" ht="26.25" customHeight="1">
      <c r="A4" s="23" t="inlineStr">
        <is>
          <t>Shift:</t>
        </is>
      </c>
      <c r="B4" s="24" t="n"/>
      <c r="C4" s="26" t="inlineStr">
        <is>
          <t>Auditee / Area Owner:</t>
        </is>
      </c>
      <c r="D4" s="24" t="n"/>
      <c r="E4" s="47" t="n"/>
    </row>
    <row r="5"/>
    <row r="6" ht="19.5" customHeight="1">
      <c r="A6" s="1" t="inlineStr">
        <is>
          <t>Sr.</t>
        </is>
      </c>
      <c r="B6" s="1" t="inlineStr">
        <is>
          <t>Check Point</t>
        </is>
      </c>
      <c r="C6" s="1" t="inlineStr">
        <is>
          <t>Yes / No</t>
        </is>
      </c>
      <c r="D6" s="1" t="inlineStr">
        <is>
          <t>Marks</t>
        </is>
      </c>
      <c r="E6" s="1" t="inlineStr">
        <is>
          <t>Remarks / Observations</t>
        </is>
      </c>
      <c r="F6" s="1" t="inlineStr">
        <is>
          <t>Check Point (Hindi)</t>
        </is>
      </c>
      <c r="G6" s="1" t="inlineStr">
        <is>
          <t>Check Point (Marathi)</t>
        </is>
      </c>
    </row>
    <row r="7">
      <c r="A7" s="37" t="inlineStr">
        <is>
          <t>1S – SEIRI (SORT)</t>
        </is>
      </c>
      <c r="B7" s="44" t="n"/>
      <c r="C7" s="44" t="n"/>
      <c r="D7" s="44" t="n"/>
      <c r="E7" s="43" t="n"/>
      <c r="F7" s="43" t="n"/>
      <c r="G7" s="43" t="n"/>
    </row>
    <row r="8" ht="27.75" customHeight="1">
      <c r="A8" s="2" t="n">
        <v>1</v>
      </c>
      <c r="B8" s="3" t="inlineStr">
        <is>
          <t>Only required files, documents and stationery are kept on desks and in cabinets.</t>
        </is>
      </c>
      <c r="C8" s="11" t="n"/>
      <c r="D8" s="2">
        <f>IF(C8="Yes",2,0)</f>
        <v/>
      </c>
      <c r="E8" s="12" t="n"/>
      <c r="F8" s="45" t="inlineStr">
        <is>
          <t>मेज़ों और अलमारियों में केवल ज़रूरी फ़ाइलें, दस्तावेज़ और स्टेशनरी ही रखी हैं।</t>
        </is>
      </c>
      <c r="G8" s="45" t="inlineStr">
        <is>
          <t>टेबलांवर आणि कपाटांमध्ये फक्त आवश्यक फाइल्स, कागदपत्रे आणि स्टेशनरी ठेवलेली आहे.</t>
        </is>
      </c>
    </row>
    <row r="9" ht="27.75" customHeight="1">
      <c r="A9" s="2" t="n">
        <v>2</v>
      </c>
      <c r="B9" s="3" t="inlineStr">
        <is>
          <t>Obsolete records beyond the retention period are removed / archived as per policy.</t>
        </is>
      </c>
      <c r="C9" s="11" t="n"/>
      <c r="D9" s="2">
        <f>IF(C9="Yes",2,0)</f>
        <v/>
      </c>
      <c r="E9" s="12" t="n"/>
      <c r="F9" s="45" t="inlineStr">
        <is>
          <t>रखने की अवधि (रिटेंशन पीरियड) पूरी हो चुके पुराने रिकॉर्ड नीति के अनुसार हटा दिए गए हैं / संग्रह (आर्काइव) में भेज दिए गए हैं।</t>
        </is>
      </c>
      <c r="G9" s="45" t="inlineStr">
        <is>
          <t>जतन कालावधी (रिटेन्शन पीरियड) संपलेल्या जुन्या नोंदी धोरणानुसार काढून टाकल्या आहेत / संग्रहात (आर्काइव्ह) पाठवल्या आहेत.</t>
        </is>
      </c>
    </row>
    <row r="10" ht="27.75" customHeight="1">
      <c r="A10" s="2" t="n">
        <v>3</v>
      </c>
      <c r="B10" s="3" t="inlineStr">
        <is>
          <t>Unused or non-working equipment (printers, phones, chairs) is removed from the office.</t>
        </is>
      </c>
      <c r="C10" s="11" t="n"/>
      <c r="D10" s="2">
        <f>IF(C10="Yes",2,0)</f>
        <v/>
      </c>
      <c r="E10" s="12" t="n"/>
      <c r="F10" s="45" t="inlineStr">
        <is>
          <t>इस्तेमाल में न आने वाले या ख़राब उपकरण (प्रिंटर, फ़ोन, कुर्सियाँ) ऑफ़िस से हटा दिए गए हैं।</t>
        </is>
      </c>
      <c r="G10" s="45" t="inlineStr">
        <is>
          <t>न वापरलेली किंवा बंद पडलेली उपकरणे (प्रिंटर, फोन, खुर्च्या) ऑफिसमधून काढून टाकली आहेत.</t>
        </is>
      </c>
    </row>
    <row r="11" ht="27.75" customHeight="1">
      <c r="A11" s="2" t="n">
        <v>4</v>
      </c>
      <c r="B11" s="3" t="inlineStr">
        <is>
          <t>A red-tag / disposal area or process exists for unwanted office items.</t>
        </is>
      </c>
      <c r="C11" s="11" t="n"/>
      <c r="D11" s="2">
        <f>IF(C11="Yes",2,0)</f>
        <v/>
      </c>
      <c r="E11" s="12" t="n"/>
      <c r="F11" s="45" t="inlineStr">
        <is>
          <t>ऑफ़िस की अनावश्यक वस्तुओं के लिए रेड-टैग / निपटान क्षेत्र या प्रक्रिया मौजूद है।</t>
        </is>
      </c>
      <c r="G11" s="45" t="inlineStr">
        <is>
          <t>ऑफिसमधील नको असलेल्या वस्तूंसाठी रेड-टॅग / विल्हेवाट क्षेत्र किंवा प्रक्रिया अस्तित्वात आहे.</t>
        </is>
      </c>
    </row>
    <row r="12" ht="27.75" customHeight="1">
      <c r="A12" s="2" t="n">
        <v>5</v>
      </c>
      <c r="B12" s="3" t="inlineStr">
        <is>
          <t>Drawers and cupboards contain only necessary items; no junk accumulation.</t>
        </is>
      </c>
      <c r="C12" s="11" t="n"/>
      <c r="D12" s="2">
        <f>IF(C12="Yes",2,0)</f>
        <v/>
      </c>
      <c r="E12" s="12" t="n"/>
      <c r="F12" s="45" t="inlineStr">
        <is>
          <t>दराज़ों और अलमारियों में केवल ज़रूरी सामान है; बेकार सामान जमा नहीं है।</t>
        </is>
      </c>
      <c r="G12" s="45" t="inlineStr">
        <is>
          <t>ड्रॉवर आणि कपाटांमध्ये फक्त आवश्यक वस्तू आहेत; निरुपयोगी सामान साचलेले नाही.</t>
        </is>
      </c>
    </row>
    <row r="13" ht="27.75" customHeight="1">
      <c r="A13" s="2" t="n">
        <v>6</v>
      </c>
      <c r="B13" s="3" t="inlineStr">
        <is>
          <t>Notice boards display only current and relevant circulars; outdated notices removed.</t>
        </is>
      </c>
      <c r="C13" s="11" t="n"/>
      <c r="D13" s="2">
        <f>IF(C13="Yes",2,0)</f>
        <v/>
      </c>
      <c r="E13" s="12" t="n"/>
      <c r="F13" s="45" t="inlineStr">
        <is>
          <t>नोटिस बोर्ड पर केवल वर्तमान और संबंधित परिपत्र लगे हैं; पुराने नोटिस हटा दिए गए हैं।</t>
        </is>
      </c>
      <c r="G13" s="45" t="inlineStr">
        <is>
          <t>सूचना फलकावर फक्त चालू आणि संबंधित परिपत्रके लावलेली आहेत; जुन्या सूचना काढून टाकल्या आहेत.</t>
        </is>
      </c>
    </row>
    <row r="14" ht="27.75" customHeight="1">
      <c r="A14" s="2" t="n">
        <v>7</v>
      </c>
      <c r="B14" s="3" t="inlineStr">
        <is>
          <t>Computer desktops and shared drives are free of unnecessary / duplicate files (e-5S).</t>
        </is>
      </c>
      <c r="C14" s="11" t="n"/>
      <c r="D14" s="2">
        <f>IF(C14="Yes",2,0)</f>
        <v/>
      </c>
      <c r="E14" s="12" t="n"/>
      <c r="F14" s="45" t="inlineStr">
        <is>
          <t>कंप्यूटर डेस्कटॉप और शेयर्ड ड्राइव पर अनावश्यक / डुप्लिकेट फ़ाइलें नहीं हैं (ई-5S)।</t>
        </is>
      </c>
      <c r="G14" s="45" t="inlineStr">
        <is>
          <t>संगणकाचा डेस्कटॉप आणि शेअर्ड ड्राइव्हवर अनावश्यक / डुप्लिकेट फाइल्स नाहीत (ई-5S).</t>
        </is>
      </c>
    </row>
    <row r="15" ht="27.75" customHeight="1">
      <c r="A15" s="2" t="n">
        <v>8</v>
      </c>
      <c r="B15" s="3" t="inlineStr">
        <is>
          <t>Excess stationery is not hoarded at desks; stock is kept centrally.</t>
        </is>
      </c>
      <c r="C15" s="11" t="n"/>
      <c r="D15" s="2">
        <f>IF(C15="Yes",2,0)</f>
        <v/>
      </c>
      <c r="E15" s="12" t="n"/>
      <c r="F15" s="45" t="inlineStr">
        <is>
          <t>मेज़ों पर ज़रूरत से ज़्यादा स्टेशनरी जमा करके नहीं रखी जाती; स्टॉक एक केंद्रीय जगह पर रखा जाता है।</t>
        </is>
      </c>
      <c r="G15" s="45" t="inlineStr">
        <is>
          <t>टेबलांवर गरजेपेक्षा जास्त स्टेशनरी साठवून ठेवली जात नाही; साठा एका मध्यवर्ती ठिकाणी ठेवला जातो.</t>
        </is>
      </c>
    </row>
    <row r="16" ht="27.75" customHeight="1">
      <c r="A16" s="2" t="n">
        <v>9</v>
      </c>
      <c r="B16" s="3" t="inlineStr">
        <is>
          <t>No unnecessary furniture or cartons block passages and corners.</t>
        </is>
      </c>
      <c r="C16" s="11" t="n"/>
      <c r="D16" s="2">
        <f>IF(C16="Yes",2,0)</f>
        <v/>
      </c>
      <c r="E16" s="12" t="n"/>
      <c r="F16" s="45" t="inlineStr">
        <is>
          <t>कोई अनावश्यक फ़र्नीचर या कार्टन रास्तों और कोनों को नहीं रोक रहा है।</t>
        </is>
      </c>
      <c r="G16" s="45" t="inlineStr">
        <is>
          <t>कोणतेही अनावश्यक फर्निचर किंवा कार्टन रस्ते आणि कोपरे अडवत नाहीत.</t>
        </is>
      </c>
    </row>
    <row r="17" ht="27.75" customHeight="1">
      <c r="A17" s="2" t="n">
        <v>10</v>
      </c>
      <c r="B17" s="3" t="inlineStr">
        <is>
          <t>Personal items are kept minimal and within designated storage only.</t>
        </is>
      </c>
      <c r="C17" s="11" t="n"/>
      <c r="D17" s="2">
        <f>IF(C17="Yes",2,0)</f>
        <v/>
      </c>
      <c r="E17" s="12" t="n"/>
      <c r="F17" s="45" t="inlineStr">
        <is>
          <t>निजी सामान कम से कम है और केवल तय भंडारण स्थान में रखा जाता है।</t>
        </is>
      </c>
      <c r="G17" s="45" t="inlineStr">
        <is>
          <t>वैयक्तिक सामान कमीत कमी आहे आणि फक्त ठरवलेल्या जागेतच ठेवले जाते.</t>
        </is>
      </c>
    </row>
    <row r="18">
      <c r="A18" s="38" t="inlineStr">
        <is>
          <t>Sub-total 1S (out of 20)</t>
        </is>
      </c>
      <c r="B18" s="44" t="n"/>
      <c r="C18" s="43" t="n"/>
      <c r="D18" s="15">
        <f>SUM(D8:D17)</f>
        <v/>
      </c>
      <c r="E18" s="16" t="n"/>
      <c r="F18" s="16" t="n"/>
      <c r="G18" s="16" t="n"/>
    </row>
    <row r="19">
      <c r="A19" s="37" t="inlineStr">
        <is>
          <t>2S – SEITON (SET IN ORDER)</t>
        </is>
      </c>
      <c r="B19" s="44" t="n"/>
      <c r="C19" s="44" t="n"/>
      <c r="D19" s="44" t="n"/>
      <c r="E19" s="43" t="n"/>
      <c r="F19" s="43" t="n"/>
      <c r="G19" s="43" t="n"/>
    </row>
    <row r="20" ht="27.75" customHeight="1">
      <c r="A20" s="2" t="n">
        <v>11</v>
      </c>
      <c r="B20" s="3" t="inlineStr">
        <is>
          <t>Every file has a designated location with a file index / master list available.</t>
        </is>
      </c>
      <c r="C20" s="11" t="n"/>
      <c r="D20" s="2">
        <f>IF(C20="Yes",2,0)</f>
        <v/>
      </c>
      <c r="E20" s="12" t="n"/>
      <c r="F20" s="45" t="inlineStr">
        <is>
          <t>हर फ़ाइल के लिए एक तय जगह है और फ़ाइल इंडेक्स / मास्टर लिस्ट उपलब्ध है।</t>
        </is>
      </c>
      <c r="G20" s="45" t="inlineStr">
        <is>
          <t>प्रत्येक फाइलसाठी ठरवलेली जागा आहे आणि फाइल इंडेक्स / मास्टर लिस्ट उपलब्ध आहे.</t>
        </is>
      </c>
    </row>
    <row r="21" ht="27.75" customHeight="1">
      <c r="A21" s="2" t="n">
        <v>12</v>
      </c>
      <c r="B21" s="3" t="inlineStr">
        <is>
          <t>Cabinets, racks and shelves are labelled indicating their contents.</t>
        </is>
      </c>
      <c r="C21" s="11" t="n"/>
      <c r="D21" s="2">
        <f>IF(C21="Yes",2,0)</f>
        <v/>
      </c>
      <c r="E21" s="12" t="n"/>
      <c r="F21" s="45" t="inlineStr">
        <is>
          <t>अलमारियों, रैकों और शेल्फ़ों पर उनके अंदर रखे सामान का लेबल लगा है।</t>
        </is>
      </c>
      <c r="G21" s="45" t="inlineStr">
        <is>
          <t>कपाटे, रॅक आणि शेल्फवर त्यांच्यातील वस्तू दर्शवणारे लेबल लावलेले आहे.</t>
        </is>
      </c>
    </row>
    <row r="22" ht="27.75" customHeight="1">
      <c r="A22" s="2" t="n">
        <v>13</v>
      </c>
      <c r="B22" s="3" t="inlineStr">
        <is>
          <t>Files are named, numbered and colour-coded as per the standard system.</t>
        </is>
      </c>
      <c r="C22" s="11" t="n"/>
      <c r="D22" s="2">
        <f>IF(C22="Yes",2,0)</f>
        <v/>
      </c>
      <c r="E22" s="12" t="n"/>
      <c r="F22" s="45" t="inlineStr">
        <is>
          <t>फ़ाइलों को मानक प्रणाली के अनुसार नाम, नंबर और कलर-कोड दिया गया है।</t>
        </is>
      </c>
      <c r="G22" s="45" t="inlineStr">
        <is>
          <t>फाइल्सना प्रमाणित पद्धतीनुसार नाव, क्रमांक आणि कलर-कोड दिलेला आहे.</t>
        </is>
      </c>
    </row>
    <row r="23" ht="27.75" customHeight="1">
      <c r="A23" s="2" t="n">
        <v>14</v>
      </c>
      <c r="B23" s="3" t="inlineStr">
        <is>
          <t>Any document / file can be retrieved within 60 seconds (retrieval test).</t>
        </is>
      </c>
      <c r="C23" s="11" t="n"/>
      <c r="D23" s="2">
        <f>IF(C23="Yes",2,0)</f>
        <v/>
      </c>
      <c r="E23" s="12" t="n"/>
      <c r="F23" s="45" t="inlineStr">
        <is>
          <t>कोई भी दस्तावेज़ / फ़ाइल 60 सेकंड के अंदर निकाली जा सकती है (ढूँढकर निकालने की जाँच)।</t>
        </is>
      </c>
      <c r="G23" s="45" t="inlineStr">
        <is>
          <t>कोणतेही कागदपत्र / फाइल 60 सेकंदांच्या आत काढता येते (शोधून काढण्याची चाचणी).</t>
        </is>
      </c>
    </row>
    <row r="24" ht="27.75" customHeight="1">
      <c r="A24" s="2" t="n">
        <v>15</v>
      </c>
      <c r="B24" s="3" t="inlineStr">
        <is>
          <t>Common equipment (printer, scanner, shredder) has a fixed, identified location.</t>
        </is>
      </c>
      <c r="C24" s="11" t="n"/>
      <c r="D24" s="2">
        <f>IF(C24="Yes",2,0)</f>
        <v/>
      </c>
      <c r="E24" s="12" t="n"/>
      <c r="F24" s="45" t="inlineStr">
        <is>
          <t>साझा उपकरणों (प्रिंटर, स्कैनर, श्रेडर) की एक तय और पहचानी हुई जगह है।</t>
        </is>
      </c>
      <c r="G24" s="45" t="inlineStr">
        <is>
          <t>सामायिक उपकरणांसाठी (प्रिंटर, स्कॅनर, श्रेडर) ठरवलेली आणि ओळख असलेली जागा आहे.</t>
        </is>
      </c>
    </row>
    <row r="25" ht="27.75" customHeight="1">
      <c r="A25" s="2" t="n">
        <v>16</v>
      </c>
      <c r="B25" s="3" t="inlineStr">
        <is>
          <t>Computer cables, chargers and network wires are routed and clipped neatly.</t>
        </is>
      </c>
      <c r="C25" s="11" t="n"/>
      <c r="D25" s="2">
        <f>IF(C25="Yes",2,0)</f>
        <v/>
      </c>
      <c r="E25" s="12" t="n"/>
      <c r="F25" s="45" t="inlineStr">
        <is>
          <t>कंप्यूटर केबल, चार्जर और नेटवर्क तार व्यवस्थित ढंग से लगाए और क्लिप किए गए हैं।</t>
        </is>
      </c>
      <c r="G25" s="45" t="inlineStr">
        <is>
          <t>संगणकाच्या केबल, चार्जर आणि नेटवर्कच्या वायर व्यवस्थित लावलेल्या आणि क्लिप केलेल्या आहेत.</t>
        </is>
      </c>
    </row>
    <row r="26" ht="27.75" customHeight="1">
      <c r="A26" s="2" t="n">
        <v>17</v>
      </c>
      <c r="B26" s="3" t="inlineStr">
        <is>
          <t>Keys are managed on a labelled key board / key register.</t>
        </is>
      </c>
      <c r="C26" s="11" t="n"/>
      <c r="D26" s="2">
        <f>IF(C26="Yes",2,0)</f>
        <v/>
      </c>
      <c r="E26" s="12" t="n"/>
      <c r="F26" s="45" t="inlineStr">
        <is>
          <t>चाबियाँ लेबल लगे की-बोर्ड / चाबी रजिस्टर के ज़रिए संभाली जाती हैं।</t>
        </is>
      </c>
      <c r="G26" s="45" t="inlineStr">
        <is>
          <t>चाव्या लेबल लावलेल्या की-बोर्ड / चावी रजिस्टरद्वारे सांभाळल्या जातात.</t>
        </is>
      </c>
    </row>
    <row r="27" ht="27.75" customHeight="1">
      <c r="A27" s="2" t="n">
        <v>18</v>
      </c>
      <c r="B27" s="3" t="inlineStr">
        <is>
          <t>Shared folders on the server follow a standard naming and folder structure.</t>
        </is>
      </c>
      <c r="C27" s="11" t="n"/>
      <c r="D27" s="2">
        <f>IF(C27="Yes",2,0)</f>
        <v/>
      </c>
      <c r="E27" s="12" t="n"/>
      <c r="F27" s="45" t="inlineStr">
        <is>
          <t>सर्वर के शेयर्ड फ़ोल्डरों में मानक नामकरण और फ़ोल्डर संरचना का पालन होता है।</t>
        </is>
      </c>
      <c r="G27" s="45" t="inlineStr">
        <is>
          <t>सर्व्हरवरील शेअर्ड फोल्डरमध्ये प्रमाणित नावे आणि फोल्डर रचनेचे पालन होते.</t>
        </is>
      </c>
    </row>
    <row r="28" ht="27.75" customHeight="1">
      <c r="A28" s="2" t="n">
        <v>19</v>
      </c>
      <c r="B28" s="3" t="inlineStr">
        <is>
          <t>Frequently used items are within easy reach; rarely used items stored higher / away.</t>
        </is>
      </c>
      <c r="C28" s="11" t="n"/>
      <c r="D28" s="2">
        <f>IF(C28="Yes",2,0)</f>
        <v/>
      </c>
      <c r="E28" s="12" t="n"/>
      <c r="F28" s="45" t="inlineStr">
        <is>
          <t>बार-बार इस्तेमाल होने वाली वस्तुएँ आसानी से हाथ की पहुँच में हैं; कम इस्तेमाल होने वाली ऊपर / दूर रखी हैं।</t>
        </is>
      </c>
      <c r="G28" s="45" t="inlineStr">
        <is>
          <t>वारंवार वापरल्या जाणाऱ्या वस्तू सहज हाताशी आहेत; क्वचित वापरल्या जाणाऱ्या वस्तू उंचावर / दूर ठेवलेल्या आहेत.</t>
        </is>
      </c>
    </row>
    <row r="29" ht="27.75" customHeight="1">
      <c r="A29" s="2" t="n">
        <v>20</v>
      </c>
      <c r="B29" s="3" t="inlineStr">
        <is>
          <t>Meeting rooms have defined arrangements for projector, remotes, markers and chairs.</t>
        </is>
      </c>
      <c r="C29" s="11" t="n"/>
      <c r="D29" s="2">
        <f>IF(C29="Yes",2,0)</f>
        <v/>
      </c>
      <c r="E29" s="12" t="n"/>
      <c r="F29" s="45" t="inlineStr">
        <is>
          <t>मीटिंग रूम में प्रोजेक्टर, रिमोट, मार्कर और कुर्सियों के लिए तय व्यवस्था है।</t>
        </is>
      </c>
      <c r="G29" s="45" t="inlineStr">
        <is>
          <t>मीटिंग रूममध्ये प्रोजेक्टर, रिमोट, मार्कर आणि खुर्च्यांसाठी ठरवलेली व्यवस्था आहे.</t>
        </is>
      </c>
    </row>
    <row r="30">
      <c r="A30" s="38" t="inlineStr">
        <is>
          <t>Sub-total 2S (out of 20)</t>
        </is>
      </c>
      <c r="B30" s="44" t="n"/>
      <c r="C30" s="43" t="n"/>
      <c r="D30" s="15">
        <f>SUM(D20:D29)</f>
        <v/>
      </c>
      <c r="E30" s="16" t="n"/>
      <c r="F30" s="16" t="n"/>
      <c r="G30" s="16" t="n"/>
    </row>
    <row r="31">
      <c r="A31" s="37" t="inlineStr">
        <is>
          <t>3S – SEISO (SHINE)</t>
        </is>
      </c>
      <c r="B31" s="44" t="n"/>
      <c r="C31" s="44" t="n"/>
      <c r="D31" s="44" t="n"/>
      <c r="E31" s="43" t="n"/>
      <c r="F31" s="43" t="n"/>
      <c r="G31" s="43" t="n"/>
    </row>
    <row r="32" ht="27.75" customHeight="1">
      <c r="A32" s="2" t="n">
        <v>21</v>
      </c>
      <c r="B32" s="3" t="inlineStr">
        <is>
          <t>Desks, tables and counters are clean and free of dust and stains.</t>
        </is>
      </c>
      <c r="C32" s="11" t="n"/>
      <c r="D32" s="2">
        <f>IF(C32="Yes",2,0)</f>
        <v/>
      </c>
      <c r="E32" s="12" t="n"/>
      <c r="F32" s="45" t="inlineStr">
        <is>
          <t>मेज़, टेबल और काउंटर साफ़ हैं और धूल व दाग़ से मुक्त हैं।</t>
        </is>
      </c>
      <c r="G32" s="45" t="inlineStr">
        <is>
          <t>टेबल, डेस्क आणि काउंटर स्वच्छ आहेत; धूळ आणि डाग नाहीत.</t>
        </is>
      </c>
    </row>
    <row r="33" ht="27.75" customHeight="1">
      <c r="A33" s="2" t="n">
        <v>22</v>
      </c>
      <c r="B33" s="3" t="inlineStr">
        <is>
          <t>Floors, carpets and workstation partitions are clean.</t>
        </is>
      </c>
      <c r="C33" s="11" t="n"/>
      <c r="D33" s="2">
        <f>IF(C33="Yes",2,0)</f>
        <v/>
      </c>
      <c r="E33" s="12" t="n"/>
      <c r="F33" s="45" t="inlineStr">
        <is>
          <t>फ़र्श, कालीन और वर्कस्टेशन के पार्टीशन साफ़ हैं।</t>
        </is>
      </c>
      <c r="G33" s="45" t="inlineStr">
        <is>
          <t>फरशी, गालिचे आणि वर्कस्टेशनची पार्टिशन स्वच्छ आहेत.</t>
        </is>
      </c>
    </row>
    <row r="34" ht="27.75" customHeight="1">
      <c r="A34" s="2" t="n">
        <v>23</v>
      </c>
      <c r="B34" s="3" t="inlineStr">
        <is>
          <t>Computers, keyboards, phones and printers are clean and in working order.</t>
        </is>
      </c>
      <c r="C34" s="11" t="n"/>
      <c r="D34" s="2">
        <f>IF(C34="Yes",2,0)</f>
        <v/>
      </c>
      <c r="E34" s="12" t="n"/>
      <c r="F34" s="45" t="inlineStr">
        <is>
          <t>कंप्यूटर, कीबोर्ड, फ़ोन और प्रिंटर साफ़ हैं और चालू हालत में हैं।</t>
        </is>
      </c>
      <c r="G34" s="45" t="inlineStr">
        <is>
          <t>संगणक, कीबोर्ड, फोन आणि प्रिंटर स्वच्छ आहेत आणि चालू स्थितीत आहेत.</t>
        </is>
      </c>
    </row>
    <row r="35" ht="27.75" customHeight="1">
      <c r="A35" s="2" t="n">
        <v>24</v>
      </c>
      <c r="B35" s="3" t="inlineStr">
        <is>
          <t>Windows, glass partitions, blinds and light fixtures are clean.</t>
        </is>
      </c>
      <c r="C35" s="11" t="n"/>
      <c r="D35" s="2">
        <f>IF(C35="Yes",2,0)</f>
        <v/>
      </c>
      <c r="E35" s="12" t="n"/>
      <c r="F35" s="45" t="inlineStr">
        <is>
          <t>खिड़कियाँ, काँच के पार्टीशन, ब्लाइंड्स और लाइट फ़िटिंग साफ़ हैं।</t>
        </is>
      </c>
      <c r="G35" s="45" t="inlineStr">
        <is>
          <t>खिडक्या, काचेची पार्टिशन, ब्लाइंड्स आणि लाईट फिटिंग स्वच्छ आहेत.</t>
        </is>
      </c>
    </row>
    <row r="36" ht="27.75" customHeight="1">
      <c r="A36" s="2" t="n">
        <v>25</v>
      </c>
      <c r="B36" s="3" t="inlineStr">
        <is>
          <t>Air conditioners / fans are clean and serviced (no dust on grills).</t>
        </is>
      </c>
      <c r="C36" s="11" t="n"/>
      <c r="D36" s="2">
        <f>IF(C36="Yes",2,0)</f>
        <v/>
      </c>
      <c r="E36" s="12" t="n"/>
      <c r="F36" s="45" t="inlineStr">
        <is>
          <t>एयर कंडीशनर / पंखे साफ़ हैं और उनकी सर्विस हुई है (जालियों पर धूल नहीं)।</t>
        </is>
      </c>
      <c r="G36" s="45" t="inlineStr">
        <is>
          <t>एअर कंडिशनर / पंखे स्वच्छ आहेत आणि त्यांची सर्व्हिसिंग झालेली आहे (जाळ्यांवर धूळ नाही).</t>
        </is>
      </c>
    </row>
    <row r="37" ht="27.75" customHeight="1">
      <c r="A37" s="2" t="n">
        <v>26</v>
      </c>
      <c r="B37" s="3" t="inlineStr">
        <is>
          <t>Dustbins are emptied daily and are not overflowing.</t>
        </is>
      </c>
      <c r="C37" s="11" t="n"/>
      <c r="D37" s="2">
        <f>IF(C37="Yes",2,0)</f>
        <v/>
      </c>
      <c r="E37" s="12" t="n"/>
      <c r="F37" s="45" t="inlineStr">
        <is>
          <t>कूड़ेदान रोज़ खाली किए जाते हैं और भरकर बाहर नहीं गिर रहे।</t>
        </is>
      </c>
      <c r="G37" s="45" t="inlineStr">
        <is>
          <t>कचराकुंड्या रोज रिकाम्या केल्या जातात आणि भरून वाहत नाहीत.</t>
        </is>
      </c>
    </row>
    <row r="38" ht="27.75" customHeight="1">
      <c r="A38" s="2" t="n">
        <v>27</v>
      </c>
      <c r="B38" s="3" t="inlineStr">
        <is>
          <t>Pantry / drinking water area is clean and hygienic.</t>
        </is>
      </c>
      <c r="C38" s="11" t="n"/>
      <c r="D38" s="2">
        <f>IF(C38="Yes",2,0)</f>
        <v/>
      </c>
      <c r="E38" s="12" t="n"/>
      <c r="F38" s="45" t="inlineStr">
        <is>
          <t>पैंट्री / पीने के पानी की जगह साफ़ और स्वच्छ (हाइजीनिक) है।</t>
        </is>
      </c>
      <c r="G38" s="45" t="inlineStr">
        <is>
          <t>पॅन्ट्री / पिण्याच्या पाण्याची जागा स्वच्छ आणि आरोग्यदायी आहे.</t>
        </is>
      </c>
    </row>
    <row r="39" ht="27.75" customHeight="1">
      <c r="A39" s="2" t="n">
        <v>28</v>
      </c>
      <c r="B39" s="3" t="inlineStr">
        <is>
          <t>Washrooms attached to the office are clean, dry and stocked with supplies.</t>
        </is>
      </c>
      <c r="C39" s="11" t="n"/>
      <c r="D39" s="2">
        <f>IF(C39="Yes",2,0)</f>
        <v/>
      </c>
      <c r="E39" s="12" t="n"/>
      <c r="F39" s="45" t="inlineStr">
        <is>
          <t>ऑफ़िस से जुड़े शौचालय साफ़, सूखे हैं और उनमें ज़रूरी सामान उपलब्ध है।</t>
        </is>
      </c>
      <c r="G39" s="45" t="inlineStr">
        <is>
          <t>ऑफिसला जोडलेली स्वच्छतागृहे स्वच्छ, कोरडी आहेत आणि त्यात आवश्यक साहित्य उपलब्ध आहे.</t>
        </is>
      </c>
    </row>
    <row r="40" ht="27.75" customHeight="1">
      <c r="A40" s="2" t="n">
        <v>29</v>
      </c>
      <c r="B40" s="3" t="inlineStr">
        <is>
          <t>A housekeeping schedule for the office exists and is being followed.</t>
        </is>
      </c>
      <c r="C40" s="11" t="n"/>
      <c r="D40" s="2">
        <f>IF(C40="Yes",2,0)</f>
        <v/>
      </c>
      <c r="E40" s="12" t="n"/>
      <c r="F40" s="45" t="inlineStr">
        <is>
          <t>ऑफ़िस के लिए साफ़-सफ़ाई (हाउसकीपिंग) शेड्यूल है और उसका पालन हो रहा है।</t>
        </is>
      </c>
      <c r="G40" s="45" t="inlineStr">
        <is>
          <t>ऑफिससाठी स्वच्छतेचे (हाऊसकीपिंग) वेळापत्रक आहे आणि त्याचे पालन होत आहे.</t>
        </is>
      </c>
    </row>
    <row r="41" ht="27.75" customHeight="1">
      <c r="A41" s="2" t="n">
        <v>30</v>
      </c>
      <c r="B41" s="3" t="inlineStr">
        <is>
          <t>No cobwebs, seepage marks or damaged ceiling tiles / furniture are visible.</t>
        </is>
      </c>
      <c r="C41" s="11" t="n"/>
      <c r="D41" s="2">
        <f>IF(C41="Yes",2,0)</f>
        <v/>
      </c>
      <c r="E41" s="12" t="n"/>
      <c r="F41" s="45" t="inlineStr">
        <is>
          <t>कोई मकड़ी के जाले, सीलन के निशान या टूटी सीलिंग टाइल / फ़र्नीचर दिखाई नहीं देते।</t>
        </is>
      </c>
      <c r="G41" s="45" t="inlineStr">
        <is>
          <t>कोळ्याची जाळी, ओलाव्याचे डाग किंवा तुटलेल्या सीलिंग टाइल / फर्निचर दिसत नाहीत.</t>
        </is>
      </c>
    </row>
    <row r="42">
      <c r="A42" s="38" t="inlineStr">
        <is>
          <t>Sub-total 3S (out of 20)</t>
        </is>
      </c>
      <c r="B42" s="44" t="n"/>
      <c r="C42" s="43" t="n"/>
      <c r="D42" s="15">
        <f>SUM(D32:D41)</f>
        <v/>
      </c>
      <c r="E42" s="16" t="n"/>
      <c r="F42" s="16" t="n"/>
      <c r="G42" s="16" t="n"/>
    </row>
    <row r="43">
      <c r="A43" s="37" t="inlineStr">
        <is>
          <t>4S – SEIKETSU (STANDARDIZE)</t>
        </is>
      </c>
      <c r="B43" s="44" t="n"/>
      <c r="C43" s="44" t="n"/>
      <c r="D43" s="44" t="n"/>
      <c r="E43" s="43" t="n"/>
      <c r="F43" s="43" t="n"/>
      <c r="G43" s="43" t="n"/>
    </row>
    <row r="44" ht="27.75" customHeight="1">
      <c r="A44" s="2" t="n">
        <v>31</v>
      </c>
      <c r="B44" s="3" t="inlineStr">
        <is>
          <t>A named 5S coordinator / zone owner is assigned for the office area.</t>
        </is>
      </c>
      <c r="C44" s="11" t="n"/>
      <c r="D44" s="2">
        <f>IF(C44="Yes",2,0)</f>
        <v/>
      </c>
      <c r="E44" s="12" t="n"/>
      <c r="F44" s="45" t="inlineStr">
        <is>
          <t>ऑफ़िस क्षेत्र के लिए एक तय व्यक्ति को 5S समन्वयक / ज़ोन प्रभारी नियुक्त किया गया है।</t>
        </is>
      </c>
      <c r="G44" s="45" t="inlineStr">
        <is>
          <t>ऑफिस क्षेत्रासाठी एका ठरावीक व्यक्तीची 5S समन्वयक / झोन प्रमुख म्हणून नेमणूक केलेली आहे.</t>
        </is>
      </c>
    </row>
    <row r="45" ht="27.75" customHeight="1">
      <c r="A45" s="2" t="n">
        <v>32</v>
      </c>
      <c r="B45" s="3" t="inlineStr">
        <is>
          <t>Standard formats exist for file labelling, indexing and correspondence.</t>
        </is>
      </c>
      <c r="C45" s="11" t="n"/>
      <c r="D45" s="2">
        <f>IF(C45="Yes",2,0)</f>
        <v/>
      </c>
      <c r="E45" s="12" t="n"/>
      <c r="F45" s="45" t="inlineStr">
        <is>
          <t>फ़ाइल पर लेबल लगाने, इंडेक्स बनाने और पत्राचार के लिए मानक फ़ॉर्मेट मौजूद हैं।</t>
        </is>
      </c>
      <c r="G45" s="45" t="inlineStr">
        <is>
          <t>फाइलला लेबल लावणे, इंडेक्स करणे आणि पत्रव्यवहारासाठी प्रमाणित फॉरमॅट उपलब्ध आहेत.</t>
        </is>
      </c>
    </row>
    <row r="46" ht="27.75" customHeight="1">
      <c r="A46" s="2" t="n">
        <v>33</v>
      </c>
      <c r="B46" s="3" t="inlineStr">
        <is>
          <t>A clean-desk policy at the end of the day is defined and followed.</t>
        </is>
      </c>
      <c r="C46" s="11" t="n"/>
      <c r="D46" s="2">
        <f>IF(C46="Yes",2,0)</f>
        <v/>
      </c>
      <c r="E46" s="12" t="n"/>
      <c r="F46" s="45" t="inlineStr">
        <is>
          <t>दिन के अंत में मेज़ ख़ाली और साफ़ छोड़ने (क्लीन-डेस्क) की नीति तय है और उसका पालन होता है।</t>
        </is>
      </c>
      <c r="G46" s="45" t="inlineStr">
        <is>
          <t>दिवसाच्या शेवटी टेबल रिकामे आणि स्वच्छ ठेवण्याचे (क्लीन-डेस्क) धोरण ठरलेले आहे आणि त्याचे पालन होते.</t>
        </is>
      </c>
    </row>
    <row r="47" ht="27.75" customHeight="1">
      <c r="A47" s="2" t="n">
        <v>34</v>
      </c>
      <c r="B47" s="3" t="inlineStr">
        <is>
          <t>Document retention and disposal standard is defined and displayed / accessible.</t>
        </is>
      </c>
      <c r="C47" s="11" t="n"/>
      <c r="D47" s="2">
        <f>IF(C47="Yes",2,0)</f>
        <v/>
      </c>
      <c r="E47" s="12" t="n"/>
      <c r="F47" s="45" t="inlineStr">
        <is>
          <t>दस्तावेज़ रखने की अवधि और निपटान का मानक तय है और लगाया गया है / उपलब्ध है।</t>
        </is>
      </c>
      <c r="G47" s="45" t="inlineStr">
        <is>
          <t>कागदपत्रे जतन करण्याचा कालावधी आणि विल्हेवाटीचे मानक ठरलेले आहे आणि लावलेले / उपलब्ध आहे.</t>
        </is>
      </c>
    </row>
    <row r="48" ht="27.75" customHeight="1">
      <c r="A48" s="2" t="n">
        <v>35</v>
      </c>
      <c r="B48" s="3" t="inlineStr">
        <is>
          <t>Standard e-mail and e-file naming conventions are defined for the department.</t>
        </is>
      </c>
      <c r="C48" s="11" t="n"/>
      <c r="D48" s="2">
        <f>IF(C48="Yes",2,0)</f>
        <v/>
      </c>
      <c r="E48" s="12" t="n"/>
      <c r="F48" s="45" t="inlineStr">
        <is>
          <t>विभाग के लिए ई-मेल और ई-फ़ाइल के नाम रखने के मानक नियम तय हैं।</t>
        </is>
      </c>
      <c r="G48" s="45" t="inlineStr">
        <is>
          <t>विभागासाठी ई-मेल आणि ई-फाइलची नावे ठेवण्याचे प्रमाणित नियम ठरलेले आहेत.</t>
        </is>
      </c>
    </row>
    <row r="49" ht="27.75" customHeight="1">
      <c r="A49" s="2" t="n">
        <v>36</v>
      </c>
      <c r="B49" s="3" t="inlineStr">
        <is>
          <t>Visual indicators (labels, signs, floor plans) are standardized across the office.</t>
        </is>
      </c>
      <c r="C49" s="11" t="n"/>
      <c r="D49" s="2">
        <f>IF(C49="Yes",2,0)</f>
        <v/>
      </c>
      <c r="E49" s="12" t="n"/>
      <c r="F49" s="45" t="inlineStr">
        <is>
          <t>पूरे ऑफ़िस में दृश्य संकेत (लेबल, साइन, फ़्लोर प्लान) एक समान (मानकीकृत) हैं।</t>
        </is>
      </c>
      <c r="G49" s="45" t="inlineStr">
        <is>
          <t>संपूर्ण ऑफिसमध्ये दृश्य खुणा (लेबल, फलक, फ्लोअर प्लॅन) एकसारख्या (प्रमाणित) आहेत.</t>
        </is>
      </c>
    </row>
    <row r="50" ht="27.75" customHeight="1">
      <c r="A50" s="2" t="n">
        <v>37</v>
      </c>
      <c r="B50" s="3" t="inlineStr">
        <is>
          <t>Checklists for office housekeeping / 5S are available and filled regularly.</t>
        </is>
      </c>
      <c r="C50" s="11" t="n"/>
      <c r="D50" s="2">
        <f>IF(C50="Yes",2,0)</f>
        <v/>
      </c>
      <c r="E50" s="12" t="n"/>
      <c r="F50" s="45" t="inlineStr">
        <is>
          <t>ऑफ़िस की साफ़-सफ़ाई / 5S के लिए चेकलिस्ट उपलब्ध हैं और नियमित रूप से भरी जाती हैं।</t>
        </is>
      </c>
      <c r="G50" s="45" t="inlineStr">
        <is>
          <t>ऑफिसच्या स्वच्छतेसाठी / 5S साठी चेकलिस्ट उपलब्ध आहेत आणि नियमितपणे भरल्या जातात.</t>
        </is>
      </c>
    </row>
    <row r="51" ht="27.75" customHeight="1">
      <c r="A51" s="2" t="n">
        <v>38</v>
      </c>
      <c r="B51" s="3" t="inlineStr">
        <is>
          <t>Safety and emergency information (exit plan, assembly point) is displayed.</t>
        </is>
      </c>
      <c r="C51" s="11" t="n"/>
      <c r="D51" s="2">
        <f>IF(C51="Yes",2,0)</f>
        <v/>
      </c>
      <c r="E51" s="12" t="n"/>
      <c r="F51" s="45" t="inlineStr">
        <is>
          <t>सुरक्षा और आपातकालीन जानकारी (निकास योजना, एकत्र होने का स्थान) लगाई गई है।</t>
        </is>
      </c>
      <c r="G51" s="45" t="inlineStr">
        <is>
          <t>सुरक्षा आणि आपत्कालीन माहिती (बाहेर पडण्याचा आराखडा, एकत्र जमण्याचे ठिकाण) लावलेली आहे.</t>
        </is>
      </c>
    </row>
    <row r="52" ht="27.75" customHeight="1">
      <c r="A52" s="2" t="n">
        <v>39</v>
      </c>
      <c r="B52" s="3" t="inlineStr">
        <is>
          <t>5S board with before / after photos and audit scores is maintained.</t>
        </is>
      </c>
      <c r="C52" s="11" t="n"/>
      <c r="D52" s="2">
        <f>IF(C52="Yes",2,0)</f>
        <v/>
      </c>
      <c r="E52" s="12" t="n"/>
      <c r="F52" s="45" t="inlineStr">
        <is>
          <t>पहले / बाद की फ़ोटो और ऑडिट स्कोर वाला 5S बोर्ड बनाए रखा गया है।</t>
        </is>
      </c>
      <c r="G52" s="45" t="inlineStr">
        <is>
          <t>आधीचे / नंतरचे फोटो आणि ऑडिट स्कोअर असलेला 5S फलक अद्ययावत ठेवला आहे.</t>
        </is>
      </c>
    </row>
    <row r="53" ht="27.75" customHeight="1">
      <c r="A53" s="2" t="n">
        <v>40</v>
      </c>
      <c r="B53" s="3" t="inlineStr">
        <is>
          <t>Meeting room usage rules (booking, cleaning after use) are defined and followed.</t>
        </is>
      </c>
      <c r="C53" s="11" t="n"/>
      <c r="D53" s="2">
        <f>IF(C53="Yes",2,0)</f>
        <v/>
      </c>
      <c r="E53" s="12" t="n"/>
      <c r="F53" s="45" t="inlineStr">
        <is>
          <t>मीटिंग रूम के उपयोग के नियम (बुकिंग, उपयोग के बाद सफ़ाई) तय हैं और उनका पालन होता है।</t>
        </is>
      </c>
      <c r="G53" s="45" t="inlineStr">
        <is>
          <t>मीटिंग रूम वापरण्याचे नियम (बुकिंग, वापरानंतर स्वच्छता) ठरलेले आहेत आणि त्यांचे पालन होते.</t>
        </is>
      </c>
    </row>
    <row r="54">
      <c r="A54" s="38" t="inlineStr">
        <is>
          <t>Sub-total 4S (out of 20)</t>
        </is>
      </c>
      <c r="B54" s="44" t="n"/>
      <c r="C54" s="43" t="n"/>
      <c r="D54" s="15">
        <f>SUM(D44:D53)</f>
        <v/>
      </c>
      <c r="E54" s="16" t="n"/>
      <c r="F54" s="16" t="n"/>
      <c r="G54" s="16" t="n"/>
    </row>
    <row r="55">
      <c r="A55" s="37" t="inlineStr">
        <is>
          <t>5S – SHITSUKE (SUSTAIN)</t>
        </is>
      </c>
      <c r="B55" s="44" t="n"/>
      <c r="C55" s="44" t="n"/>
      <c r="D55" s="44" t="n"/>
      <c r="E55" s="43" t="n"/>
      <c r="F55" s="43" t="n"/>
      <c r="G55" s="43" t="n"/>
    </row>
    <row r="56" ht="27.75" customHeight="1">
      <c r="A56" s="2" t="n">
        <v>41</v>
      </c>
      <c r="B56" s="3" t="inlineStr">
        <is>
          <t>All office staff have received 5S awareness training (records available).</t>
        </is>
      </c>
      <c r="C56" s="11" t="n"/>
      <c r="D56" s="2">
        <f>IF(C56="Yes",2,0)</f>
        <v/>
      </c>
      <c r="E56" s="12" t="n"/>
      <c r="F56" s="45" t="inlineStr">
        <is>
          <t>ऑफ़िस के सभी कर्मचारियों को 5S जागरूकता प्रशिक्षण मिला है (रिकॉर्ड उपलब्ध)।</t>
        </is>
      </c>
      <c r="G56" s="45" t="inlineStr">
        <is>
          <t>ऑफिसमधील सर्व कर्मचाऱ्यांना 5S जागरूकता प्रशिक्षण मिळाले आहे (नोंदी उपलब्ध).</t>
        </is>
      </c>
    </row>
    <row r="57" ht="27.75" customHeight="1">
      <c r="A57" s="2" t="n">
        <v>42</v>
      </c>
      <c r="B57" s="3" t="inlineStr">
        <is>
          <t>Office 5S audits are conducted as per schedule.</t>
        </is>
      </c>
      <c r="C57" s="11" t="n"/>
      <c r="D57" s="2">
        <f>IF(C57="Yes",2,0)</f>
        <v/>
      </c>
      <c r="E57" s="12" t="n"/>
      <c r="F57" s="45" t="inlineStr">
        <is>
          <t>ऑफ़िस के 5S ऑडिट शेड्यूल के अनुसार होते हैं।</t>
        </is>
      </c>
      <c r="G57" s="45" t="inlineStr">
        <is>
          <t>ऑफिसचे 5S ऑडिट वेळापत्रकानुसार होतात.</t>
        </is>
      </c>
    </row>
    <row r="58" ht="27.75" customHeight="1">
      <c r="A58" s="2" t="n">
        <v>43</v>
      </c>
      <c r="B58" s="3" t="inlineStr">
        <is>
          <t>Actions on previous audit findings are closed within the target date.</t>
        </is>
      </c>
      <c r="C58" s="11" t="n"/>
      <c r="D58" s="2">
        <f>IF(C58="Yes",2,0)</f>
        <v/>
      </c>
      <c r="E58" s="12" t="n"/>
      <c r="F58" s="45" t="inlineStr">
        <is>
          <t>पिछले ऑडिट में मिली कमियों पर कार्रवाई लक्ष्य तिथि के भीतर पूरी की जाती है।</t>
        </is>
      </c>
      <c r="G58" s="45" t="inlineStr">
        <is>
          <t>मागील ऑडिटमध्ये आढळलेल्या त्रुटींवरील कार्यवाही लक्ष्य तारखेच्या आत पूर्ण केली जाते.</t>
        </is>
      </c>
    </row>
    <row r="59" ht="27.75" customHeight="1">
      <c r="A59" s="2" t="n">
        <v>44</v>
      </c>
      <c r="B59" s="3" t="inlineStr">
        <is>
          <t>Staff clear their desks and log off systems at the end of the day.</t>
        </is>
      </c>
      <c r="C59" s="11" t="n"/>
      <c r="D59" s="2">
        <f>IF(C59="Yes",2,0)</f>
        <v/>
      </c>
      <c r="E59" s="12" t="n"/>
      <c r="F59" s="45" t="inlineStr">
        <is>
          <t>कर्मचारी दिन के अंत में अपनी मेज़ ख़ाली करते हैं और सिस्टम से लॉग-ऑफ़ करते हैं।</t>
        </is>
      </c>
      <c r="G59" s="45" t="inlineStr">
        <is>
          <t>कर्मचारी दिवसाच्या शेवटी आपले टेबल रिकामे करतात आणि सिस्टममधून लॉग-ऑफ करतात.</t>
        </is>
      </c>
    </row>
    <row r="60" ht="27.75" customHeight="1">
      <c r="A60" s="2" t="n">
        <v>45</v>
      </c>
      <c r="B60" s="3" t="inlineStr">
        <is>
          <t>Files borrowed from central storage are returned to their location after use.</t>
        </is>
      </c>
      <c r="C60" s="11" t="n"/>
      <c r="D60" s="2">
        <f>IF(C60="Yes",2,0)</f>
        <v/>
      </c>
      <c r="E60" s="12" t="n"/>
      <c r="F60" s="45" t="inlineStr">
        <is>
          <t>केंद्रीय भंडार से ली गई फ़ाइलें उपयोग के बाद अपनी जगह पर लौटा दी जाती हैं।</t>
        </is>
      </c>
      <c r="G60" s="45" t="inlineStr">
        <is>
          <t>मध्यवर्ती संग्रहातून घेतलेल्या फाइल्स वापरानंतर त्यांच्या जागी परत ठेवल्या जातात.</t>
        </is>
      </c>
    </row>
    <row r="61" ht="27.75" customHeight="1">
      <c r="A61" s="2" t="n">
        <v>46</v>
      </c>
      <c r="B61" s="3" t="inlineStr">
        <is>
          <t>Employees maintain e-5S discipline (mailbox cleanup, folder discipline).</t>
        </is>
      </c>
      <c r="C61" s="11" t="n"/>
      <c r="D61" s="2">
        <f>IF(C61="Yes",2,0)</f>
        <v/>
      </c>
      <c r="E61" s="12" t="n"/>
      <c r="F61" s="45" t="inlineStr">
        <is>
          <t>कर्मचारी ई-5S अनुशासन का पालन करते हैं (मेलबॉक्स की सफ़ाई, फ़ोल्डर अनुशासन)।</t>
        </is>
      </c>
      <c r="G61" s="45" t="inlineStr">
        <is>
          <t>कर्मचारी ई-5S शिस्त पाळतात (मेलबॉक्सची साफसफाई, फोल्डरची शिस्त).</t>
        </is>
      </c>
    </row>
    <row r="62" ht="27.75" customHeight="1">
      <c r="A62" s="2" t="n">
        <v>47</v>
      </c>
      <c r="B62" s="3" t="inlineStr">
        <is>
          <t>Management reviews office 5S performance periodically.</t>
        </is>
      </c>
      <c r="C62" s="11" t="n"/>
      <c r="D62" s="2">
        <f>IF(C62="Yes",2,0)</f>
        <v/>
      </c>
      <c r="E62" s="12" t="n"/>
      <c r="F62" s="45" t="inlineStr">
        <is>
          <t>प्रबंधन समय-समय पर ऑफ़िस के 5S प्रदर्शन की समीक्षा करता है।</t>
        </is>
      </c>
      <c r="G62" s="45" t="inlineStr">
        <is>
          <t>व्यवस्थापन वेळोवेळी ऑफिसच्या 5S कामगिरीचा आढावा घेते.</t>
        </is>
      </c>
    </row>
    <row r="63" ht="27.75" customHeight="1">
      <c r="A63" s="2" t="n">
        <v>48</v>
      </c>
      <c r="B63" s="3" t="inlineStr">
        <is>
          <t>Improvement suggestions / kaizens are generated by office staff.</t>
        </is>
      </c>
      <c r="C63" s="11" t="n"/>
      <c r="D63" s="2">
        <f>IF(C63="Yes",2,0)</f>
        <v/>
      </c>
      <c r="E63" s="12" t="n"/>
      <c r="F63" s="45" t="inlineStr">
        <is>
          <t>ऑफ़िस के कर्मचारी सुधार के सुझाव / काइज़ेन देते हैं।</t>
        </is>
      </c>
      <c r="G63" s="45" t="inlineStr">
        <is>
          <t>ऑफिसमधील कर्मचारी सुधारणेच्या सूचना / कायझेन देतात.</t>
        </is>
      </c>
    </row>
    <row r="64" ht="27.75" customHeight="1">
      <c r="A64" s="2" t="n">
        <v>49</v>
      </c>
      <c r="B64" s="3" t="inlineStr">
        <is>
          <t>5S condition is maintained even during peak workload / audits (surprise check).</t>
        </is>
      </c>
      <c r="C64" s="11" t="n"/>
      <c r="D64" s="2">
        <f>IF(C64="Yes",2,0)</f>
        <v/>
      </c>
      <c r="E64" s="12" t="n"/>
      <c r="F64" s="45" t="inlineStr">
        <is>
          <t>काम के सबसे ज़्यादा दबाव / ऑडिट के समय भी 5S की स्थिति बनी रहती है (अचानक जाँच)।</t>
        </is>
      </c>
      <c r="G64" s="45" t="inlineStr">
        <is>
          <t>कामाचा सर्वाधिक ताण असताना / ऑडिटच्या काळातही 5S ची स्थिती टिकून राहते (अचानक तपासणी).</t>
        </is>
      </c>
    </row>
    <row r="65" ht="27.75" customHeight="1">
      <c r="A65" s="2" t="n">
        <v>50</v>
      </c>
      <c r="B65" s="3" t="inlineStr">
        <is>
          <t>Office 5S score trend is stable or improving over the last 3 audits.</t>
        </is>
      </c>
      <c r="C65" s="11" t="n"/>
      <c r="D65" s="2">
        <f>IF(C65="Yes",2,0)</f>
        <v/>
      </c>
      <c r="E65" s="12" t="n"/>
      <c r="F65" s="45" t="inlineStr">
        <is>
          <t>पिछले 3 ऑडिट में ऑफ़िस का 5S स्कोर स्थिर है या बेहतर हो रहा है।</t>
        </is>
      </c>
      <c r="G65" s="45" t="inlineStr">
        <is>
          <t>मागील 3 ऑडिटमध्ये ऑफिसचा 5S स्कोअर स्थिर आहे किंवा सुधारत आहे.</t>
        </is>
      </c>
    </row>
    <row r="66">
      <c r="A66" s="38" t="inlineStr">
        <is>
          <t>Sub-total 5S (out of 20)</t>
        </is>
      </c>
      <c r="B66" s="44" t="n"/>
      <c r="C66" s="43" t="n"/>
      <c r="D66" s="15">
        <f>SUM(D56:D65)</f>
        <v/>
      </c>
      <c r="E66" s="16" t="n"/>
      <c r="F66" s="16" t="n"/>
      <c r="G66" s="16" t="n"/>
    </row>
    <row r="67">
      <c r="A67" s="39" t="inlineStr">
        <is>
          <t>TOTAL SCORE (out of 100)</t>
        </is>
      </c>
      <c r="B67" s="44" t="n"/>
      <c r="C67" s="43" t="n"/>
      <c r="D67" s="17">
        <f>D18+D30+D42+D54+D66</f>
        <v/>
      </c>
      <c r="E67" s="10" t="n"/>
      <c r="F67" s="10" t="n"/>
      <c r="G67" s="10" t="n"/>
    </row>
    <row r="68">
      <c r="A68" s="40" t="inlineStr">
        <is>
          <t>PERCENTAGE</t>
        </is>
      </c>
      <c r="B68" s="44" t="n"/>
      <c r="C68" s="43" t="n"/>
      <c r="D68" s="18">
        <f>D67/100</f>
        <v/>
      </c>
      <c r="E68" s="19" t="n"/>
      <c r="F68" s="19" t="n"/>
      <c r="G68" s="19" t="n"/>
    </row>
    <row r="69">
      <c r="A69" s="40" t="inlineStr">
        <is>
          <t>RATING</t>
        </is>
      </c>
      <c r="B69" s="44" t="n"/>
      <c r="C69" s="43" t="n"/>
      <c r="D69" s="21">
        <f>IF(D68&gt;=0.9,"Outstanding",IF(D68&gt;=0.75,"On Track",IF(D68&gt;=0.6,"Improving","Needs Support")))</f>
        <v/>
      </c>
      <c r="E69" s="19" t="n"/>
      <c r="F69" s="19" t="n"/>
      <c r="G69" s="19" t="n"/>
    </row>
    <row r="70"/>
    <row r="71">
      <c r="A71" s="36" t="inlineStr">
        <is>
          <t>Rating scale:  ≥ 90% Outstanding  |  75–89% On Track  |  60–74% Improving  |  &lt; 60% Needs Support.  Points scored 'No' must be entered in the corrective action tracker.</t>
        </is>
      </c>
    </row>
    <row r="72"/>
    <row r="73">
      <c r="B73" s="20" t="inlineStr">
        <is>
          <t>Auditor Signature: ______________________</t>
        </is>
      </c>
      <c r="E73" s="20" t="inlineStr">
        <is>
          <t>Area Owner Signature: ______________________</t>
        </is>
      </c>
      <c r="F73" s="20" t="n"/>
      <c r="G73" s="20" t="n"/>
    </row>
    <row r="74">
      <c r="A74" s="22" t="inlineStr">
        <is>
          <t>Prepared by AB Associates, Nashik.</t>
        </is>
      </c>
    </row>
  </sheetData>
  <mergeCells count="16">
    <mergeCell ref="A42:C42"/>
    <mergeCell ref="A55:E55"/>
    <mergeCell ref="A68:C68"/>
    <mergeCell ref="A66:C66"/>
    <mergeCell ref="A43:E43"/>
    <mergeCell ref="A7:E7"/>
    <mergeCell ref="A19:E19"/>
    <mergeCell ref="A71:E71"/>
    <mergeCell ref="A18:C18"/>
    <mergeCell ref="A67:C67"/>
    <mergeCell ref="A1:E1"/>
    <mergeCell ref="A30:C30"/>
    <mergeCell ref="A69:C69"/>
    <mergeCell ref="A31:E31"/>
    <mergeCell ref="A54:C54"/>
    <mergeCell ref="E2:E4"/>
  </mergeCells>
  <dataValidations count="1">
    <dataValidation sqref="C8:C17 C20:C29 C32:C41 C44:C53 C56:C65" showDropDown="0" showInputMessage="0" showErrorMessage="1" allowBlank="1" errorTitle="Invalid entry" error="Please select Yes or No" type="list">
      <formula1>"Yes,No"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tabSelected="1" topLeftCell="A64" zoomScaleNormal="100" workbookViewId="0">
      <selection activeCell="B73" sqref="B73"/>
    </sheetView>
  </sheetViews>
  <sheetFormatPr baseColWidth="8" defaultColWidth="8.5703125" defaultRowHeight="15"/>
  <cols>
    <col width="6" customWidth="1" min="1" max="1"/>
    <col width="68" customWidth="1" min="2" max="2"/>
    <col width="12" customWidth="1" min="3" max="3"/>
    <col width="9" customWidth="1" min="4" max="4"/>
    <col width="32" customWidth="1" min="5" max="5"/>
    <col width="60" customWidth="1" min="6" max="6"/>
    <col width="60" customWidth="1" min="7" max="7"/>
  </cols>
  <sheetData>
    <row r="1" ht="25.5" customHeight="1">
      <c r="A1" s="29" t="inlineStr">
        <is>
          <t>5S AUDIT CHECK SHEET – STORES (RM)</t>
        </is>
      </c>
    </row>
    <row r="2" ht="15" customHeight="1">
      <c r="A2" s="14" t="inlineStr">
        <is>
          <t>Company:</t>
        </is>
      </c>
      <c r="B2" s="13" t="n"/>
      <c r="C2" s="14" t="inlineStr">
        <is>
          <t>Audit Date:</t>
        </is>
      </c>
      <c r="D2" s="13" t="n"/>
      <c r="E2" s="41" t="inlineStr">
        <is>
          <t>Scoring: Yes = 2 marks, No = 0 marks.
Max score = 100.</t>
        </is>
      </c>
    </row>
    <row r="3">
      <c r="A3" s="14" t="inlineStr">
        <is>
          <t>Area / Dept.:</t>
        </is>
      </c>
      <c r="B3" s="13" t="inlineStr">
        <is>
          <t>Stores (RM)</t>
        </is>
      </c>
      <c r="C3" s="14" t="inlineStr">
        <is>
          <t>Auditor Name:</t>
        </is>
      </c>
      <c r="D3" s="13" t="n"/>
    </row>
    <row r="4">
      <c r="A4" s="14" t="inlineStr">
        <is>
          <t>Shift:</t>
        </is>
      </c>
      <c r="B4" s="13" t="n"/>
      <c r="C4" s="14" t="inlineStr">
        <is>
          <t>Auditee / Area Owner:</t>
        </is>
      </c>
      <c r="D4" s="13" t="n"/>
    </row>
    <row r="5"/>
    <row r="6" ht="19.5" customHeight="1">
      <c r="A6" s="1" t="inlineStr">
        <is>
          <t>Sr.</t>
        </is>
      </c>
      <c r="B6" s="1" t="inlineStr">
        <is>
          <t>Check Point</t>
        </is>
      </c>
      <c r="C6" s="1" t="inlineStr">
        <is>
          <t>Yes / No</t>
        </is>
      </c>
      <c r="D6" s="1" t="inlineStr">
        <is>
          <t>Marks</t>
        </is>
      </c>
      <c r="E6" s="1" t="inlineStr">
        <is>
          <t>Remarks / Observations</t>
        </is>
      </c>
      <c r="F6" s="1" t="inlineStr">
        <is>
          <t>Check Point (Hindi)</t>
        </is>
      </c>
      <c r="G6" s="1" t="inlineStr">
        <is>
          <t>Check Point (Marathi)</t>
        </is>
      </c>
    </row>
    <row r="7">
      <c r="A7" s="37" t="inlineStr">
        <is>
          <t>1S – SEIRI (SORT)</t>
        </is>
      </c>
      <c r="B7" s="44" t="n"/>
      <c r="C7" s="44" t="n"/>
      <c r="D7" s="44" t="n"/>
      <c r="E7" s="43" t="n"/>
      <c r="F7" s="43" t="n"/>
      <c r="G7" s="43" t="n"/>
    </row>
    <row r="8" ht="27.75" customHeight="1">
      <c r="A8" s="2" t="n">
        <v>1</v>
      </c>
      <c r="B8" s="3" t="inlineStr">
        <is>
          <t>Only approved and required raw materials are stored; no unwanted items in stores.</t>
        </is>
      </c>
      <c r="C8" s="11" t="n"/>
      <c r="D8" s="2">
        <f>IF(C8="Yes",2,0)</f>
        <v/>
      </c>
      <c r="E8" s="12" t="n"/>
      <c r="F8" s="45" t="inlineStr">
        <is>
          <t>स्टोर में केवल स्वीकृत और ज़रूरी कच्चा माल रखा है; कोई अनावश्यक वस्तु नहीं है।</t>
        </is>
      </c>
      <c r="G8" s="45" t="inlineStr">
        <is>
          <t>स्टोअरमध्ये फक्त मंजूर आणि आवश्यक कच्चा माल ठेवलेला आहे; कोणतीही नको असलेली वस्तू नाही.</t>
        </is>
      </c>
    </row>
    <row r="9" ht="27.75" customHeight="1">
      <c r="A9" s="2" t="n">
        <v>2</v>
      </c>
      <c r="B9" s="3" t="inlineStr">
        <is>
          <t>Non-moving / slow-moving stock is identified, listed and action plan exists.</t>
        </is>
      </c>
      <c r="C9" s="11" t="n"/>
      <c r="D9" s="2">
        <f>IF(C9="Yes",2,0)</f>
        <v/>
      </c>
      <c r="E9" s="12" t="n"/>
      <c r="F9" s="45" t="inlineStr">
        <is>
          <t>न चलने वाला / धीमे चलने वाला स्टॉक पहचाना गया है, उसकी सूची बनी है और उस पर कार्य-योजना मौजूद है।</t>
        </is>
      </c>
      <c r="G9" s="45" t="inlineStr">
        <is>
          <t>न हलणारा / हळू हलणारा साठा ओळखलेला आहे, त्याची यादी केलेली आहे आणि त्यावर कृती आराखडा आहे.</t>
        </is>
      </c>
    </row>
    <row r="10" ht="27.75" customHeight="1">
      <c r="A10" s="2" t="n">
        <v>3</v>
      </c>
      <c r="B10" s="3" t="inlineStr">
        <is>
          <t>Rejected / on-hold material is segregated in a clearly marked quarantine area.</t>
        </is>
      </c>
      <c r="C10" s="11" t="n"/>
      <c r="D10" s="2">
        <f>IF(C10="Yes",2,0)</f>
        <v/>
      </c>
      <c r="E10" s="12" t="n"/>
      <c r="F10" s="45" t="inlineStr">
        <is>
          <t>रिजेक्ट / होल्ड पर रखा माल साफ़ चिह्नित क्वारंटाइन क्षेत्र में अलग रखा गया है।</t>
        </is>
      </c>
      <c r="G10" s="45" t="inlineStr">
        <is>
          <t>रिजेक्ट / होल्डवरील माल स्पष्टपणे आखलेल्या क्वारंटाईन क्षेत्रात वेगळा ठेवलेला आहे.</t>
        </is>
      </c>
    </row>
    <row r="11" ht="27.75" customHeight="1">
      <c r="A11" s="2" t="n">
        <v>4</v>
      </c>
      <c r="B11" s="3" t="inlineStr">
        <is>
          <t>Expired or shelf-life-over materials are removed and dispositioned promptly.</t>
        </is>
      </c>
      <c r="C11" s="11" t="n"/>
      <c r="D11" s="2">
        <f>IF(C11="Yes",2,0)</f>
        <v/>
      </c>
      <c r="E11" s="12" t="n"/>
      <c r="F11" s="45" t="inlineStr">
        <is>
          <t>एक्सपायर हो चुका या शेल्फ़-लाइफ़ पूरी हो चुका माल तुरंत हटाकर उसका निपटान किया जाता है।</t>
        </is>
      </c>
      <c r="G11" s="45" t="inlineStr">
        <is>
          <t>मुदत संपलेला किंवा शेल्फ-लाइफ संपलेला माल ताबडतोब काढून त्याची विल्हेवाट लावली जाते.</t>
        </is>
      </c>
    </row>
    <row r="12" ht="27.75" customHeight="1">
      <c r="A12" s="2" t="n">
        <v>5</v>
      </c>
      <c r="B12" s="3" t="inlineStr">
        <is>
          <t>Empty drums, cartons, pallets and packing waste are not accumulated inside stores.</t>
        </is>
      </c>
      <c r="C12" s="11" t="n"/>
      <c r="D12" s="2">
        <f>IF(C12="Yes",2,0)</f>
        <v/>
      </c>
      <c r="E12" s="12" t="n"/>
      <c r="F12" s="45" t="inlineStr">
        <is>
          <t>स्टोर के अंदर खाली ड्रम, कार्टन, पैलेट और पैकिंग का कचरा जमा नहीं है।</t>
        </is>
      </c>
      <c r="G12" s="45" t="inlineStr">
        <is>
          <t>स्टोअरमध्ये रिकामे ड्रम, कार्टन, पॅलेट आणि पॅकिंगचा कचरा साचलेला नाही.</t>
        </is>
      </c>
    </row>
    <row r="13" ht="27.75" customHeight="1">
      <c r="A13" s="2" t="n">
        <v>6</v>
      </c>
      <c r="B13" s="3" t="inlineStr">
        <is>
          <t>Damaged racks, bins or handling equipment are removed / repaired, not lying idle.</t>
        </is>
      </c>
      <c r="C13" s="11" t="n"/>
      <c r="D13" s="2">
        <f>IF(C13="Yes",2,0)</f>
        <v/>
      </c>
      <c r="E13" s="12" t="n"/>
      <c r="F13" s="45" t="inlineStr">
        <is>
          <t>टूटे रैक, बिन या माल ढोने के उपकरण हटा दिए जाते हैं / ठीक कराए जाते हैं, बेकार पड़े नहीं रहते।</t>
        </is>
      </c>
      <c r="G13" s="45" t="inlineStr">
        <is>
          <t>तुटलेले रॅक, बिन किंवा माल हाताळणीची उपकरणे काढून टाकली जातात / दुरुस्त केली जातात, पडून राहत नाहीत.</t>
        </is>
      </c>
    </row>
    <row r="14" ht="27.75" customHeight="1">
      <c r="A14" s="2" t="n">
        <v>7</v>
      </c>
      <c r="B14" s="3" t="inlineStr">
        <is>
          <t>Only current-version documents (GRN formats, registers) are in use.</t>
        </is>
      </c>
      <c r="C14" s="11" t="n"/>
      <c r="D14" s="2">
        <f>IF(C14="Yes",2,0)</f>
        <v/>
      </c>
      <c r="E14" s="12" t="n"/>
      <c r="F14" s="45" t="inlineStr">
        <is>
          <t>केवल वर्तमान संस्करण के दस्तावेज़ (GRN फ़ॉर्मेट, रजिस्टर) उपयोग में हैं।</t>
        </is>
      </c>
      <c r="G14" s="45" t="inlineStr">
        <is>
          <t>फक्त चालू आवृत्तीची कागदपत्रे (GRN फॉरमॅट, रजिस्टर) वापरात आहेत.</t>
        </is>
      </c>
    </row>
    <row r="15" ht="27.75" customHeight="1">
      <c r="A15" s="2" t="n">
        <v>8</v>
      </c>
      <c r="B15" s="3" t="inlineStr">
        <is>
          <t>Excess stock beyond defined norms is highlighted and reported.</t>
        </is>
      </c>
      <c r="C15" s="11" t="n"/>
      <c r="D15" s="2">
        <f>IF(C15="Yes",2,0)</f>
        <v/>
      </c>
      <c r="E15" s="12" t="n"/>
      <c r="F15" s="45" t="inlineStr">
        <is>
          <t>तय मानकों से ज़्यादा स्टॉक को चिह्नित करके रिपोर्ट किया जाता है।</t>
        </is>
      </c>
      <c r="G15" s="45" t="inlineStr">
        <is>
          <t>ठरलेल्या मर्यादेपेक्षा जास्त साठा ठळकपणे दाखवून कळवला जातो.</t>
        </is>
      </c>
    </row>
    <row r="16" ht="27.75" customHeight="1">
      <c r="A16" s="2" t="n">
        <v>9</v>
      </c>
      <c r="B16" s="3" t="inlineStr">
        <is>
          <t>No personal or non-store items are kept inside the store area.</t>
        </is>
      </c>
      <c r="C16" s="11" t="n"/>
      <c r="D16" s="2">
        <f>IF(C16="Yes",2,0)</f>
        <v/>
      </c>
      <c r="E16" s="12" t="n"/>
      <c r="F16" s="45" t="inlineStr">
        <is>
          <t>स्टोर क्षेत्र के अंदर कोई निजी सामान या स्टोर से असंबंधित वस्तु नहीं रखी है।</t>
        </is>
      </c>
      <c r="G16" s="45" t="inlineStr">
        <is>
          <t>स्टोअर क्षेत्रात कोणतेही वैयक्तिक सामान किंवा स्टोअरशी संबंध नसलेली वस्तू ठेवलेली नाही.</t>
        </is>
      </c>
    </row>
    <row r="17" ht="27.75" customHeight="1">
      <c r="A17" s="2" t="n">
        <v>10</v>
      </c>
      <c r="B17" s="3" t="inlineStr">
        <is>
          <t>A red-tag area is available in stores and cleared within the defined time.</t>
        </is>
      </c>
      <c r="C17" s="11" t="n"/>
      <c r="D17" s="2">
        <f>IF(C17="Yes",2,0)</f>
        <v/>
      </c>
      <c r="E17" s="12" t="n"/>
      <c r="F17" s="45" t="inlineStr">
        <is>
          <t>स्टोर में रेड-टैग क्षेत्र उपलब्ध है और तय समय के भीतर खाली किया जाता है।</t>
        </is>
      </c>
      <c r="G17" s="45" t="inlineStr">
        <is>
          <t>स्टोअरमध्ये रेड-टॅग क्षेत्र उपलब्ध आहे आणि ठरलेल्या वेळेत रिकामे केले जाते.</t>
        </is>
      </c>
    </row>
    <row r="18">
      <c r="A18" s="38" t="inlineStr">
        <is>
          <t>Sub-total 1S (out of 20)</t>
        </is>
      </c>
      <c r="B18" s="44" t="n"/>
      <c r="C18" s="43" t="n"/>
      <c r="D18" s="15">
        <f>SUM(D8:D17)</f>
        <v/>
      </c>
      <c r="E18" s="16" t="n"/>
      <c r="F18" s="16" t="n"/>
      <c r="G18" s="16" t="n"/>
    </row>
    <row r="19">
      <c r="A19" s="37" t="inlineStr">
        <is>
          <t>2S – SEITON (SET IN ORDER)</t>
        </is>
      </c>
      <c r="B19" s="44" t="n"/>
      <c r="C19" s="44" t="n"/>
      <c r="D19" s="44" t="n"/>
      <c r="E19" s="43" t="n"/>
      <c r="F19" s="43" t="n"/>
      <c r="G19" s="43" t="n"/>
    </row>
    <row r="20" ht="27.75" customHeight="1">
      <c r="A20" s="2" t="n">
        <v>11</v>
      </c>
      <c r="B20" s="3" t="inlineStr">
        <is>
          <t>Every material has a defined bin / rack location with a location master available.</t>
        </is>
      </c>
      <c r="C20" s="11" t="n"/>
      <c r="D20" s="2">
        <f>IF(C20="Yes",2,0)</f>
        <v/>
      </c>
      <c r="E20" s="12" t="n"/>
      <c r="F20" s="45" t="inlineStr">
        <is>
          <t>हर सामग्री की तय बिन / रैक लोकेशन है और लोकेशन मास्टर उपलब्ध है।</t>
        </is>
      </c>
      <c r="G20" s="45" t="inlineStr">
        <is>
          <t>प्रत्येक मालाचे ठरलेले बिन / रॅक लोकेशन आहे आणि लोकेशन मास्टर उपलब्ध आहे.</t>
        </is>
      </c>
    </row>
    <row r="21" ht="27.75" customHeight="1">
      <c r="A21" s="2" t="n">
        <v>12</v>
      </c>
      <c r="B21" s="3" t="inlineStr">
        <is>
          <t>All racks, bins and storage locations are labelled with location codes.</t>
        </is>
      </c>
      <c r="C21" s="11" t="n"/>
      <c r="D21" s="2">
        <f>IF(C21="Yes",2,0)</f>
        <v/>
      </c>
      <c r="E21" s="12" t="n"/>
      <c r="F21" s="45" t="inlineStr">
        <is>
          <t>सभी रैक, बिन और भंडारण स्थानों पर लोकेशन कोड का लेबल लगा है।</t>
        </is>
      </c>
      <c r="G21" s="45" t="inlineStr">
        <is>
          <t>सर्व रॅक, बिन आणि साठवणुकीच्या जागांवर लोकेशन कोडचे लेबल लावलेले आहे.</t>
        </is>
      </c>
    </row>
    <row r="22" ht="27.75" customHeight="1">
      <c r="A22" s="2" t="n">
        <v>13</v>
      </c>
      <c r="B22" s="3" t="inlineStr">
        <is>
          <t>Materials carry identification tags – name, code, quantity, GRN no., status.</t>
        </is>
      </c>
      <c r="C22" s="11" t="n"/>
      <c r="D22" s="2">
        <f>IF(C22="Yes",2,0)</f>
        <v/>
      </c>
      <c r="E22" s="12" t="n"/>
      <c r="F22" s="45" t="inlineStr">
        <is>
          <t>सामग्री पर पहचान टैग लगे हैं – नाम, कोड, मात्रा, GRN नंबर, स्थिति।</t>
        </is>
      </c>
      <c r="G22" s="45" t="inlineStr">
        <is>
          <t>मालावर ओळख टॅग लावलेले आहेत – नाव, कोड, प्रमाण, GRN क्रमांक, स्थिती.</t>
        </is>
      </c>
    </row>
    <row r="23" ht="27.75" customHeight="1">
      <c r="A23" s="2" t="n">
        <v>14</v>
      </c>
      <c r="B23" s="3" t="inlineStr">
        <is>
          <t>Storage layout supports FIFO / FEFO issue of materials.</t>
        </is>
      </c>
      <c r="C23" s="11" t="n"/>
      <c r="D23" s="2">
        <f>IF(C23="Yes",2,0)</f>
        <v/>
      </c>
      <c r="E23" s="12" t="n"/>
      <c r="F23" s="45" t="inlineStr">
        <is>
          <t>भंडारण की व्यवस्था ऐसी है कि माल FIFO / FEFO के अनुसार जारी किया जा सके।</t>
        </is>
      </c>
      <c r="G23" s="45" t="inlineStr">
        <is>
          <t>साठवणुकीची रचना अशी आहे की माल FIFO / FEFO नुसार इश्यू करता येईल.</t>
        </is>
      </c>
    </row>
    <row r="24" ht="27.75" customHeight="1">
      <c r="A24" s="2" t="n">
        <v>15</v>
      </c>
      <c r="B24" s="3" t="inlineStr">
        <is>
          <t>Heavy items are stored at lower levels; light items at upper levels.</t>
        </is>
      </c>
      <c r="C24" s="11" t="n"/>
      <c r="D24" s="2">
        <f>IF(C24="Yes",2,0)</f>
        <v/>
      </c>
      <c r="E24" s="12" t="n"/>
      <c r="F24" s="45" t="inlineStr">
        <is>
          <t>भारी वस्तुएँ नीचे के स्तर पर और हल्की वस्तुएँ ऊपर के स्तर पर रखी जाती हैं।</t>
        </is>
      </c>
      <c r="G24" s="45" t="inlineStr">
        <is>
          <t>जड वस्तू खालच्या स्तरावर आणि हलक्या वस्तू वरच्या स्तरावर ठेवल्या जातात.</t>
        </is>
      </c>
    </row>
    <row r="25" ht="27.75" customHeight="1">
      <c r="A25" s="2" t="n">
        <v>16</v>
      </c>
      <c r="B25" s="3" t="inlineStr">
        <is>
          <t>Material handling equipment (trolleys, pallet trucks) has designated parking.</t>
        </is>
      </c>
      <c r="C25" s="11" t="n"/>
      <c r="D25" s="2">
        <f>IF(C25="Yes",2,0)</f>
        <v/>
      </c>
      <c r="E25" s="12" t="n"/>
      <c r="F25" s="45" t="inlineStr">
        <is>
          <t>माल ढोने के उपकरणों (ट्रॉली, पैलेट ट्रक) के लिए तय पार्किंग है।</t>
        </is>
      </c>
      <c r="G25" s="45" t="inlineStr">
        <is>
          <t>माल हाताळणीच्या उपकरणांसाठी (ट्रॉली, पॅलेट ट्रक) ठरलेली पार्किंग आहे.</t>
        </is>
      </c>
    </row>
    <row r="26" ht="27.75" customHeight="1">
      <c r="A26" s="2" t="n">
        <v>17</v>
      </c>
      <c r="B26" s="3" t="inlineStr">
        <is>
          <t>Receipt, inspection, storage and issue areas are clearly demarcated.</t>
        </is>
      </c>
      <c r="C26" s="11" t="n"/>
      <c r="D26" s="2">
        <f>IF(C26="Yes",2,0)</f>
        <v/>
      </c>
      <c r="E26" s="12" t="n"/>
      <c r="F26" s="45" t="inlineStr">
        <is>
          <t>माल प्राप्ति, निरीक्षण, भंडारण और जारी करने के क्षेत्र साफ़ तौर पर अलग-अलग चिह्नित हैं।</t>
        </is>
      </c>
      <c r="G26" s="45" t="inlineStr">
        <is>
          <t>माल स्वीकारणे, तपासणी, साठवण आणि इश्यू करण्याची क्षेत्रे स्पष्टपणे वेगवेगळी आखलेली आहेत.</t>
        </is>
      </c>
    </row>
    <row r="27" ht="27.75" customHeight="1">
      <c r="A27" s="2" t="n">
        <v>18</v>
      </c>
      <c r="B27" s="3" t="inlineStr">
        <is>
          <t>Chemicals / hazardous materials are stored separately with MSDS displayed.</t>
        </is>
      </c>
      <c r="C27" s="11" t="n"/>
      <c r="D27" s="2">
        <f>IF(C27="Yes",2,0)</f>
        <v/>
      </c>
      <c r="E27" s="12" t="n"/>
      <c r="F27" s="45" t="inlineStr">
        <is>
          <t>रसायन / ख़तरनाक सामग्री अलग रखी जाती है और वहाँ MSDS लगा है।</t>
        </is>
      </c>
      <c r="G27" s="45" t="inlineStr">
        <is>
          <t>रसायने / धोकादायक साहित्य वेगळे ठेवले जाते आणि तिथे MSDS लावलेले आहे.</t>
        </is>
      </c>
    </row>
    <row r="28" ht="27.75" customHeight="1">
      <c r="A28" s="2" t="n">
        <v>19</v>
      </c>
      <c r="B28" s="3" t="inlineStr">
        <is>
          <t>Stacking height norms are defined and followed; no unsafe stacking.</t>
        </is>
      </c>
      <c r="C28" s="11" t="n"/>
      <c r="D28" s="2">
        <f>IF(C28="Yes",2,0)</f>
        <v/>
      </c>
      <c r="E28" s="12" t="n"/>
      <c r="F28" s="45" t="inlineStr">
        <is>
          <t>माल की स्टैकिंग (ढेर लगाने) की ऊँचाई के मानक तय हैं और उनका पालन होता है; कोई असुरक्षित स्टैकिंग नहीं है।</t>
        </is>
      </c>
      <c r="G28" s="45" t="inlineStr">
        <is>
          <t>माल रचण्याच्या (स्टॅकिंग) उंचीचे निकष ठरलेले आहेत आणि पाळले जातात; असुरक्षित रचना नाही.</t>
        </is>
      </c>
    </row>
    <row r="29" ht="27.75" customHeight="1">
      <c r="A29" s="2" t="n">
        <v>20</v>
      </c>
      <c r="B29" s="3" t="inlineStr">
        <is>
          <t>Any item can be located and retrieved within 2–3 minutes (retrieval test).</t>
        </is>
      </c>
      <c r="C29" s="11" t="n"/>
      <c r="D29" s="2">
        <f>IF(C29="Yes",2,0)</f>
        <v/>
      </c>
      <c r="E29" s="12" t="n"/>
      <c r="F29" s="45" t="inlineStr">
        <is>
          <t>कोई भी वस्तु 2–3 मिनट के अंदर ढूँढकर निकाली जा सकती है (ढूँढकर निकालने की जाँच)।</t>
        </is>
      </c>
      <c r="G29" s="45" t="inlineStr">
        <is>
          <t>कोणतीही वस्तू 2–3 मिनिटांच्या आत शोधून काढता येते (शोधून काढण्याची चाचणी).</t>
        </is>
      </c>
    </row>
    <row r="30">
      <c r="A30" s="38" t="inlineStr">
        <is>
          <t>Sub-total 2S (out of 20)</t>
        </is>
      </c>
      <c r="B30" s="44" t="n"/>
      <c r="C30" s="43" t="n"/>
      <c r="D30" s="15">
        <f>SUM(D20:D29)</f>
        <v/>
      </c>
      <c r="E30" s="16" t="n"/>
      <c r="F30" s="16" t="n"/>
      <c r="G30" s="16" t="n"/>
    </row>
    <row r="31">
      <c r="A31" s="37" t="inlineStr">
        <is>
          <t>3S – SEISO (SHINE)</t>
        </is>
      </c>
      <c r="B31" s="44" t="n"/>
      <c r="C31" s="44" t="n"/>
      <c r="D31" s="44" t="n"/>
      <c r="E31" s="43" t="n"/>
      <c r="F31" s="43" t="n"/>
      <c r="G31" s="43" t="n"/>
    </row>
    <row r="32" ht="27.75" customHeight="1">
      <c r="A32" s="2" t="n">
        <v>21</v>
      </c>
      <c r="B32" s="3" t="inlineStr">
        <is>
          <t>Store floors are clean, dry and free of spillage and dust.</t>
        </is>
      </c>
      <c r="C32" s="11" t="n"/>
      <c r="D32" s="2">
        <f>IF(C32="Yes",2,0)</f>
        <v/>
      </c>
      <c r="E32" s="12" t="n"/>
      <c r="F32" s="45" t="inlineStr">
        <is>
          <t>स्टोर का फ़र्श साफ़, सूखा है और उस पर कुछ गिरा हुआ या धूल नहीं है।</t>
        </is>
      </c>
      <c r="G32" s="45" t="inlineStr">
        <is>
          <t>स्टोअरची फरशी स्वच्छ, कोरडी आहे आणि त्यावर सांडलेले काही किंवा धूळ नाही.</t>
        </is>
      </c>
    </row>
    <row r="33" ht="27.75" customHeight="1">
      <c r="A33" s="2" t="n">
        <v>22</v>
      </c>
      <c r="B33" s="3" t="inlineStr">
        <is>
          <t>Racks, bins and stored materials are free of dust accumulation.</t>
        </is>
      </c>
      <c r="C33" s="11" t="n"/>
      <c r="D33" s="2">
        <f>IF(C33="Yes",2,0)</f>
        <v/>
      </c>
      <c r="E33" s="12" t="n"/>
      <c r="F33" s="45" t="inlineStr">
        <is>
          <t>रैक, बिन और रखी हुई सामग्री पर धूल जमा नहीं है।</t>
        </is>
      </c>
      <c r="G33" s="45" t="inlineStr">
        <is>
          <t>रॅक, बिन आणि ठेवलेल्या मालावर धूळ साचलेली नाही.</t>
        </is>
      </c>
    </row>
    <row r="34" ht="27.75" customHeight="1">
      <c r="A34" s="2" t="n">
        <v>23</v>
      </c>
      <c r="B34" s="3" t="inlineStr">
        <is>
          <t>Weighing balances and measuring equipment are clean and calibrated (stickers valid).</t>
        </is>
      </c>
      <c r="C34" s="11" t="n"/>
      <c r="D34" s="2">
        <f>IF(C34="Yes",2,0)</f>
        <v/>
      </c>
      <c r="E34" s="12" t="n"/>
      <c r="F34" s="45" t="inlineStr">
        <is>
          <t>तौल काँटे और मापने के उपकरण साफ़ हैं और कैलिब्रेटेड हैं (स्टिकर वैध)।</t>
        </is>
      </c>
      <c r="G34" s="45" t="inlineStr">
        <is>
          <t>वजनकाटे आणि मोजमापाची उपकरणे स्वच्छ आहेत आणि कॅलिब्रेटेड आहेत (स्टिकर वैध).</t>
        </is>
      </c>
    </row>
    <row r="35" ht="27.75" customHeight="1">
      <c r="A35" s="2" t="n">
        <v>24</v>
      </c>
      <c r="B35" s="3" t="inlineStr">
        <is>
          <t>Lighting and ventilation in stores are adequate and fixtures are clean.</t>
        </is>
      </c>
      <c r="C35" s="11" t="n"/>
      <c r="D35" s="2">
        <f>IF(C35="Yes",2,0)</f>
        <v/>
      </c>
      <c r="E35" s="12" t="n"/>
      <c r="F35" s="45" t="inlineStr">
        <is>
          <t>स्टोर में रोशनी और हवा की व्यवस्था पर्याप्त है और लाइट फ़िटिंग साफ़ हैं।</t>
        </is>
      </c>
      <c r="G35" s="45" t="inlineStr">
        <is>
          <t>स्टोअरमध्ये प्रकाश आणि हवा खेळती राहण्याची व्यवस्था पुरेशी आहे आणि लाईट फिटिंग स्वच्छ आहेत.</t>
        </is>
      </c>
    </row>
    <row r="36" ht="27.75" customHeight="1">
      <c r="A36" s="2" t="n">
        <v>25</v>
      </c>
      <c r="B36" s="3" t="inlineStr">
        <is>
          <t>No rodent / pest activity signs; pest control schedule is followed.</t>
        </is>
      </c>
      <c r="C36" s="11" t="n"/>
      <c r="D36" s="2">
        <f>IF(C36="Yes",2,0)</f>
        <v/>
      </c>
      <c r="E36" s="12" t="n"/>
      <c r="F36" s="45" t="inlineStr">
        <is>
          <t>चूहों / कीड़ों की गतिविधि के कोई निशान नहीं हैं; पेस्ट कंट्रोल शेड्यूल का पालन होता है।</t>
        </is>
      </c>
      <c r="G36" s="45" t="inlineStr">
        <is>
          <t>उंदीर / कीटकांचा वावर असल्याच्या खुणा नाहीत; पेस्ट कंट्रोल वेळापत्रकाचे पालन होते.</t>
        </is>
      </c>
    </row>
    <row r="37" ht="27.75" customHeight="1">
      <c r="A37" s="2" t="n">
        <v>26</v>
      </c>
      <c r="B37" s="3" t="inlineStr">
        <is>
          <t>Temperature / humidity-controlled storage (if applicable) is monitored and recorded.</t>
        </is>
      </c>
      <c r="C37" s="11" t="n"/>
      <c r="D37" s="2">
        <f>IF(C37="Yes",2,0)</f>
        <v/>
      </c>
      <c r="E37" s="12" t="n"/>
      <c r="F37" s="45" t="inlineStr">
        <is>
          <t>तापमान / नमी नियंत्रित भंडारण (यदि लागू हो) की निगरानी होती है और रिकॉर्ड रखा जाता है।</t>
        </is>
      </c>
      <c r="G37" s="45" t="inlineStr">
        <is>
          <t>तापमान / आर्द्रता नियंत्रित साठवण (लागू असल्यास) यावर लक्ष ठेवले जाते आणि नोंद ठेवली जाते.</t>
        </is>
      </c>
    </row>
    <row r="38" ht="27.75" customHeight="1">
      <c r="A38" s="2" t="n">
        <v>27</v>
      </c>
      <c r="B38" s="3" t="inlineStr">
        <is>
          <t>Dustbins are provided, colour-coded and emptied regularly.</t>
        </is>
      </c>
      <c r="C38" s="11" t="n"/>
      <c r="D38" s="2">
        <f>IF(C38="Yes",2,0)</f>
        <v/>
      </c>
      <c r="E38" s="12" t="n"/>
      <c r="F38" s="45" t="inlineStr">
        <is>
          <t>कूड़ेदान उपलब्ध हैं, कलर-कोड वाले हैं और नियमित रूप से खाली किए जाते हैं।</t>
        </is>
      </c>
      <c r="G38" s="45" t="inlineStr">
        <is>
          <t>कचराकुंड्या उपलब्ध आहेत, कलर-कोड असलेल्या आहेत आणि नियमितपणे रिकाम्या केल्या जातात.</t>
        </is>
      </c>
    </row>
    <row r="39" ht="27.75" customHeight="1">
      <c r="A39" s="2" t="n">
        <v>28</v>
      </c>
      <c r="B39" s="3" t="inlineStr">
        <is>
          <t>Loading / unloading dock area is clean and organized.</t>
        </is>
      </c>
      <c r="C39" s="11" t="n"/>
      <c r="D39" s="2">
        <f>IF(C39="Yes",2,0)</f>
        <v/>
      </c>
      <c r="E39" s="12" t="n"/>
      <c r="F39" s="45" t="inlineStr">
        <is>
          <t>माल चढ़ाने / उतारने का डॉक क्षेत्र साफ़ और व्यवस्थित है।</t>
        </is>
      </c>
      <c r="G39" s="45" t="inlineStr">
        <is>
          <t>माल चढवण्याचे / उतरवण्याचे डॉक क्षेत्र स्वच्छ आणि व्यवस्थित आहे.</t>
        </is>
      </c>
    </row>
    <row r="40" ht="27.75" customHeight="1">
      <c r="A40" s="2" t="n">
        <v>29</v>
      </c>
      <c r="B40" s="3" t="inlineStr">
        <is>
          <t>Cleaning schedule for stores is displayed and followed.</t>
        </is>
      </c>
      <c r="C40" s="11" t="n"/>
      <c r="D40" s="2">
        <f>IF(C40="Yes",2,0)</f>
        <v/>
      </c>
      <c r="E40" s="12" t="n"/>
      <c r="F40" s="45" t="inlineStr">
        <is>
          <t>स्टोर का सफ़ाई शेड्यूल लगा है और उसका पालन होता है।</t>
        </is>
      </c>
      <c r="G40" s="45" t="inlineStr">
        <is>
          <t>स्टोअरचे स्वच्छता वेळापत्रक लावलेले आहे आणि त्याचे पालन होते.</t>
        </is>
      </c>
    </row>
    <row r="41" ht="27.75" customHeight="1">
      <c r="A41" s="2" t="n">
        <v>30</v>
      </c>
      <c r="B41" s="3" t="inlineStr">
        <is>
          <t>Leakage of roof, water lines or seepage is not observed; abnormalities reported.</t>
        </is>
      </c>
      <c r="C41" s="11" t="n"/>
      <c r="D41" s="2">
        <f>IF(C41="Yes",2,0)</f>
        <v/>
      </c>
      <c r="E41" s="12" t="n"/>
      <c r="F41" s="45" t="inlineStr">
        <is>
          <t>छत, पानी की लाइनों से टपकाव या सीलन नहीं दिखती; असामान्यताएँ रिपोर्ट की जाती हैं।</t>
        </is>
      </c>
      <c r="G41" s="45" t="inlineStr">
        <is>
          <t>छत किंवा पाण्याच्या लाईनमधून गळती किंवा ओलावा दिसत नाही; असामान्य गोष्टी कळवल्या जातात.</t>
        </is>
      </c>
    </row>
    <row r="42">
      <c r="A42" s="38" t="inlineStr">
        <is>
          <t>Sub-total 3S (out of 20)</t>
        </is>
      </c>
      <c r="B42" s="44" t="n"/>
      <c r="C42" s="43" t="n"/>
      <c r="D42" s="15">
        <f>SUM(D32:D41)</f>
        <v/>
      </c>
      <c r="E42" s="16" t="n"/>
      <c r="F42" s="16" t="n"/>
      <c r="G42" s="16" t="n"/>
    </row>
    <row r="43">
      <c r="A43" s="37" t="inlineStr">
        <is>
          <t>4S – SEIKETSU (STANDARDIZE)</t>
        </is>
      </c>
      <c r="B43" s="44" t="n"/>
      <c r="C43" s="44" t="n"/>
      <c r="D43" s="44" t="n"/>
      <c r="E43" s="43" t="n"/>
      <c r="F43" s="43" t="n"/>
      <c r="G43" s="43" t="n"/>
    </row>
    <row r="44" ht="27.75" customHeight="1">
      <c r="A44" s="2" t="n">
        <v>31</v>
      </c>
      <c r="B44" s="3" t="inlineStr">
        <is>
          <t>Store zone map with rack numbering and ownership is displayed.</t>
        </is>
      </c>
      <c r="C44" s="11" t="n"/>
      <c r="D44" s="2">
        <f>IF(C44="Yes",2,0)</f>
        <v/>
      </c>
      <c r="E44" s="12" t="n"/>
      <c r="F44" s="45" t="inlineStr">
        <is>
          <t>रैक नंबर और ज़िम्मेदारी के साथ स्टोर का ज़ोन मैप लगा है।</t>
        </is>
      </c>
      <c r="G44" s="45" t="inlineStr">
        <is>
          <t>रॅक क्रमांक आणि जबाबदारीसह स्टोअरचा झोन मॅप लावलेला आहे.</t>
        </is>
      </c>
    </row>
    <row r="45" ht="27.75" customHeight="1">
      <c r="A45" s="2" t="n">
        <v>32</v>
      </c>
      <c r="B45" s="3" t="inlineStr">
        <is>
          <t>Standard labelling format for materials and locations is defined and followed.</t>
        </is>
      </c>
      <c r="C45" s="11" t="n"/>
      <c r="D45" s="2">
        <f>IF(C45="Yes",2,0)</f>
        <v/>
      </c>
      <c r="E45" s="12" t="n"/>
      <c r="F45" s="45" t="inlineStr">
        <is>
          <t>सामग्री और लोकेशन के लिए मानक लेबल फ़ॉर्मेट तय है और उसका पालन होता है।</t>
        </is>
      </c>
      <c r="G45" s="45" t="inlineStr">
        <is>
          <t>माल आणि लोकेशनसाठी प्रमाणित लेबल फॉरमॅट ठरलेला आहे आणि त्याचे पालन होते.</t>
        </is>
      </c>
    </row>
    <row r="46" ht="27.75" customHeight="1">
      <c r="A46" s="2" t="n">
        <v>33</v>
      </c>
      <c r="B46" s="3" t="inlineStr">
        <is>
          <t>Min / max stock levels are defined and visually indicated for key items.</t>
        </is>
      </c>
      <c r="C46" s="11" t="n"/>
      <c r="D46" s="2">
        <f>IF(C46="Yes",2,0)</f>
        <v/>
      </c>
      <c r="E46" s="12" t="n"/>
      <c r="F46" s="45" t="inlineStr">
        <is>
          <t>मुख्य वस्तुओं के लिए न्यूनतम / अधिकतम स्टॉक स्तर तय हैं और दृश्य रूप से दिखाए गए हैं।</t>
        </is>
      </c>
      <c r="G46" s="45" t="inlineStr">
        <is>
          <t>महत्त्वाच्या वस्तूंसाठी किमान / कमाल साठा पातळी ठरलेली आहे आणि ती दृश्य स्वरूपात दाखवलेली आहे.</t>
        </is>
      </c>
    </row>
    <row r="47" ht="27.75" customHeight="1">
      <c r="A47" s="2" t="n">
        <v>34</v>
      </c>
      <c r="B47" s="3" t="inlineStr">
        <is>
          <t>FIFO / FEFO standard is documented and displayed at the issue area.</t>
        </is>
      </c>
      <c r="C47" s="11" t="n"/>
      <c r="D47" s="2">
        <f>IF(C47="Yes",2,0)</f>
        <v/>
      </c>
      <c r="E47" s="12" t="n"/>
      <c r="F47" s="45" t="inlineStr">
        <is>
          <t>FIFO / FEFO मानक लिखित है और माल जारी करने की जगह पर लगा है।</t>
        </is>
      </c>
      <c r="G47" s="45" t="inlineStr">
        <is>
          <t>FIFO / FEFO मानक लिखित स्वरूपात आहे आणि इश्यू करण्याच्या जागी लावलेले आहे.</t>
        </is>
      </c>
    </row>
    <row r="48" ht="27.75" customHeight="1">
      <c r="A48" s="2" t="n">
        <v>35</v>
      </c>
      <c r="B48" s="3" t="inlineStr">
        <is>
          <t>Standard for quarantine, rejection and scrap handling is defined and followed.</t>
        </is>
      </c>
      <c r="C48" s="11" t="n"/>
      <c r="D48" s="2">
        <f>IF(C48="Yes",2,0)</f>
        <v/>
      </c>
      <c r="E48" s="12" t="n"/>
      <c r="F48" s="45" t="inlineStr">
        <is>
          <t>क्वारंटाइन, रिजेक्शन और स्क्रैप संभालने का मानक तय है और उसका पालन होता है।</t>
        </is>
      </c>
      <c r="G48" s="45" t="inlineStr">
        <is>
          <t>क्वारंटाईन, रिजेक्शन आणि स्क्रॅप हाताळण्याचे मानक ठरलेले आहे आणि त्याचे पालन होते.</t>
        </is>
      </c>
    </row>
    <row r="49" ht="27.75" customHeight="1">
      <c r="A49" s="2" t="n">
        <v>36</v>
      </c>
      <c r="B49" s="3" t="inlineStr">
        <is>
          <t>Safety signage (no smoking, PPE, MSDS, fire) is displayed at required points.</t>
        </is>
      </c>
      <c r="C49" s="11" t="n"/>
      <c r="D49" s="2">
        <f>IF(C49="Yes",2,0)</f>
        <v/>
      </c>
      <c r="E49" s="12" t="n"/>
      <c r="F49" s="45" t="inlineStr">
        <is>
          <t>सुरक्षा साइनबोर्ड (धूम्रपान निषेध, PPE, MSDS, आग) ज़रूरी जगहों पर लगे हैं।</t>
        </is>
      </c>
      <c r="G49" s="45" t="inlineStr">
        <is>
          <t>सुरक्षा फलक (धूम्रपान निषिद्ध, PPE, MSDS, आग) आवश्यक ठिकाणी लावलेले आहेत.</t>
        </is>
      </c>
    </row>
    <row r="50" ht="27.75" customHeight="1">
      <c r="A50" s="2" t="n">
        <v>37</v>
      </c>
      <c r="B50" s="3" t="inlineStr">
        <is>
          <t>Standard formats for GRN, issue slips and stock records are in use.</t>
        </is>
      </c>
      <c r="C50" s="11" t="n"/>
      <c r="D50" s="2">
        <f>IF(C50="Yes",2,0)</f>
        <v/>
      </c>
      <c r="E50" s="12" t="n"/>
      <c r="F50" s="45" t="inlineStr">
        <is>
          <t>GRN, इश्यू स्लिप और स्टॉक रिकॉर्ड के मानक फ़ॉर्मेट उपयोग में हैं।</t>
        </is>
      </c>
      <c r="G50" s="45" t="inlineStr">
        <is>
          <t>GRN, इश्यू स्लिप आणि साठा नोंदींचे प्रमाणित फॉरमॅट वापरात आहेत.</t>
        </is>
      </c>
    </row>
    <row r="51" ht="27.75" customHeight="1">
      <c r="A51" s="2" t="n">
        <v>38</v>
      </c>
      <c r="B51" s="3" t="inlineStr">
        <is>
          <t>Colour codes for bins, tags and status labels are standardized.</t>
        </is>
      </c>
      <c r="C51" s="11" t="n"/>
      <c r="D51" s="2">
        <f>IF(C51="Yes",2,0)</f>
        <v/>
      </c>
      <c r="E51" s="12" t="n"/>
      <c r="F51" s="45" t="inlineStr">
        <is>
          <t>बिन, टैग और स्थिति लेबल के कलर-कोड एक समान (मानकीकृत) हैं।</t>
        </is>
      </c>
      <c r="G51" s="45" t="inlineStr">
        <is>
          <t>बिन, टॅग आणि स्थिती लेबलचे कलर-कोड एकसारखे (प्रमाणित) आहेत.</t>
        </is>
      </c>
    </row>
    <row r="52" ht="27.75" customHeight="1">
      <c r="A52" s="2" t="n">
        <v>39</v>
      </c>
      <c r="B52" s="3" t="inlineStr">
        <is>
          <t>5S checklists for stores are available and filled regularly.</t>
        </is>
      </c>
      <c r="C52" s="11" t="n"/>
      <c r="D52" s="2">
        <f>IF(C52="Yes",2,0)</f>
        <v/>
      </c>
      <c r="E52" s="12" t="n"/>
      <c r="F52" s="45" t="inlineStr">
        <is>
          <t>स्टोर की 5S चेकलिस्ट उपलब्ध हैं और नियमित रूप से भरी जाती हैं।</t>
        </is>
      </c>
      <c r="G52" s="45" t="inlineStr">
        <is>
          <t>स्टोअरच्या 5S चेकलिस्ट उपलब्ध आहेत आणि नियमितपणे भरल्या जातात.</t>
        </is>
      </c>
    </row>
    <row r="53" ht="27.75" customHeight="1">
      <c r="A53" s="2" t="n">
        <v>40</v>
      </c>
      <c r="B53" s="3" t="inlineStr">
        <is>
          <t>5S board with audit scores and improvement photos is maintained.</t>
        </is>
      </c>
      <c r="C53" s="11" t="n"/>
      <c r="D53" s="2">
        <f>IF(C53="Yes",2,0)</f>
        <v/>
      </c>
      <c r="E53" s="12" t="n"/>
      <c r="F53" s="45" t="inlineStr">
        <is>
          <t>ऑडिट स्कोर और सुधार की फ़ोटो वाला 5S बोर्ड बनाए रखा गया है।</t>
        </is>
      </c>
      <c r="G53" s="45" t="inlineStr">
        <is>
          <t>ऑडिट स्कोअर आणि सुधारणेचे फोटो असलेला 5S फलक अद्ययावत ठेवला आहे.</t>
        </is>
      </c>
    </row>
    <row r="54">
      <c r="A54" s="38" t="inlineStr">
        <is>
          <t>Sub-total 4S (out of 20)</t>
        </is>
      </c>
      <c r="B54" s="44" t="n"/>
      <c r="C54" s="43" t="n"/>
      <c r="D54" s="15">
        <f>SUM(D44:D53)</f>
        <v/>
      </c>
      <c r="E54" s="16" t="n"/>
      <c r="F54" s="16" t="n"/>
      <c r="G54" s="16" t="n"/>
    </row>
    <row r="55">
      <c r="A55" s="37" t="inlineStr">
        <is>
          <t>5S – SHITSUKE (SUSTAIN)</t>
        </is>
      </c>
      <c r="B55" s="44" t="n"/>
      <c r="C55" s="44" t="n"/>
      <c r="D55" s="44" t="n"/>
      <c r="E55" s="43" t="n"/>
      <c r="F55" s="43" t="n"/>
      <c r="G55" s="43" t="n"/>
    </row>
    <row r="56" ht="27.75" customHeight="1">
      <c r="A56" s="2" t="n">
        <v>41</v>
      </c>
      <c r="B56" s="3" t="inlineStr">
        <is>
          <t>Store personnel are trained in 5S and material handling practices.</t>
        </is>
      </c>
      <c r="C56" s="11" t="n"/>
      <c r="D56" s="2">
        <f>IF(C56="Yes",2,0)</f>
        <v/>
      </c>
      <c r="E56" s="12" t="n"/>
      <c r="F56" s="45" t="inlineStr">
        <is>
          <t>स्टोर कर्मचारी 5S और माल संभालने के तरीक़ों में प्रशिक्षित हैं।</t>
        </is>
      </c>
      <c r="G56" s="45" t="inlineStr">
        <is>
          <t>स्टोअर कर्मचारी 5S आणि माल हाताळणीच्या पद्धतींमध्ये प्रशिक्षित आहेत.</t>
        </is>
      </c>
    </row>
    <row r="57" ht="27.75" customHeight="1">
      <c r="A57" s="2" t="n">
        <v>42</v>
      </c>
      <c r="B57" s="3" t="inlineStr">
        <is>
          <t>Perpetual inventory / cycle counting is done as per schedule with accuracy tracked.</t>
        </is>
      </c>
      <c r="C57" s="11" t="n"/>
      <c r="D57" s="2">
        <f>IF(C57="Yes",2,0)</f>
        <v/>
      </c>
      <c r="E57" s="12" t="n"/>
      <c r="F57" s="45" t="inlineStr">
        <is>
          <t>सतत इन्वेंटरी / साइकल काउंटिंग शेड्यूल के अनुसार होती है और उसकी सटीकता पर नज़र रखी जाती है।</t>
        </is>
      </c>
      <c r="G57" s="45" t="inlineStr">
        <is>
          <t>सतत इन्व्हेंटरी / सायकल काउंटिंग वेळापत्रकानुसार होते आणि तिच्या अचूकतेवर लक्ष ठेवले जाते.</t>
        </is>
      </c>
    </row>
    <row r="58" ht="27.75" customHeight="1">
      <c r="A58" s="2" t="n">
        <v>43</v>
      </c>
      <c r="B58" s="3" t="inlineStr">
        <is>
          <t>5S audits of stores are conducted as per schedule.</t>
        </is>
      </c>
      <c r="C58" s="11" t="n"/>
      <c r="D58" s="2">
        <f>IF(C58="Yes",2,0)</f>
        <v/>
      </c>
      <c r="E58" s="12" t="n"/>
      <c r="F58" s="45" t="inlineStr">
        <is>
          <t>स्टोर के 5S ऑडिट शेड्यूल के अनुसार होते हैं।</t>
        </is>
      </c>
      <c r="G58" s="45" t="inlineStr">
        <is>
          <t>स्टोअरचे 5S ऑडिट वेळापत्रकानुसार होतात.</t>
        </is>
      </c>
    </row>
    <row r="59" ht="27.75" customHeight="1">
      <c r="A59" s="2" t="n">
        <v>44</v>
      </c>
      <c r="B59" s="3" t="inlineStr">
        <is>
          <t>Previous audit non-conformities are closed on time.</t>
        </is>
      </c>
      <c r="C59" s="11" t="n"/>
      <c r="D59" s="2">
        <f>IF(C59="Yes",2,0)</f>
        <v/>
      </c>
      <c r="E59" s="12" t="n"/>
      <c r="F59" s="45" t="inlineStr">
        <is>
          <t>पिछले ऑडिट की कमियाँ समय पर दूर की जाती हैं।</t>
        </is>
      </c>
      <c r="G59" s="45" t="inlineStr">
        <is>
          <t>मागील ऑडिटमधील त्रुटी वेळेत दूर केल्या जातात.</t>
        </is>
      </c>
    </row>
    <row r="60" ht="27.75" customHeight="1">
      <c r="A60" s="2" t="n">
        <v>45</v>
      </c>
      <c r="B60" s="3" t="inlineStr">
        <is>
          <t>Materials issued are recorded immediately; no pending entries (system discipline).</t>
        </is>
      </c>
      <c r="C60" s="11" t="n"/>
      <c r="D60" s="2">
        <f>IF(C60="Yes",2,0)</f>
        <v/>
      </c>
      <c r="E60" s="12" t="n"/>
      <c r="F60" s="45" t="inlineStr">
        <is>
          <t>जारी किया गया माल तुरंत दर्ज किया जाता है; कोई एंट्री बाक़ी नहीं रहती (सिस्टम अनुशासन)।</t>
        </is>
      </c>
      <c r="G60" s="45" t="inlineStr">
        <is>
          <t>इश्यू केलेला माल लगेच नोंदवला जातो; कोणतीही नोंद प्रलंबित राहत नाही (सिस्टम शिस्त).</t>
        </is>
      </c>
    </row>
    <row r="61" ht="27.75" customHeight="1">
      <c r="A61" s="2" t="n">
        <v>46</v>
      </c>
      <c r="B61" s="3" t="inlineStr">
        <is>
          <t>Store discipline is maintained – no unauthorized entry, gate pass system followed.</t>
        </is>
      </c>
      <c r="C61" s="11" t="n"/>
      <c r="D61" s="2">
        <f>IF(C61="Yes",2,0)</f>
        <v/>
      </c>
      <c r="E61" s="12" t="n"/>
      <c r="F61" s="45" t="inlineStr">
        <is>
          <t>स्टोर का अनुशासन बना रहता है – कोई अनधिकृत प्रवेश नहीं, गेट पास व्यवस्था का पालन होता है।</t>
        </is>
      </c>
      <c r="G61" s="45" t="inlineStr">
        <is>
          <t>स्टोअरची शिस्त पाळली जाते – अनधिकृत प्रवेश नाही, गेट पास पद्धतीचे पालन होते.</t>
        </is>
      </c>
    </row>
    <row r="62" ht="27.75" customHeight="1">
      <c r="A62" s="2" t="n">
        <v>47</v>
      </c>
      <c r="B62" s="3" t="inlineStr">
        <is>
          <t>Housekeeping and FIFO discipline is maintained even without supervision.</t>
        </is>
      </c>
      <c r="C62" s="11" t="n"/>
      <c r="D62" s="2">
        <f>IF(C62="Yes",2,0)</f>
        <v/>
      </c>
      <c r="E62" s="12" t="n"/>
      <c r="F62" s="45" t="inlineStr">
        <is>
          <t>बिना निगरानी के भी साफ़-सफ़ाई और FIFO का अनुशासन बना रहता है।</t>
        </is>
      </c>
      <c r="G62" s="45" t="inlineStr">
        <is>
          <t>देखरेख नसतानाही स्वच्छता आणि FIFO ची शिस्त टिकून राहते.</t>
        </is>
      </c>
    </row>
    <row r="63" ht="27.75" customHeight="1">
      <c r="A63" s="2" t="n">
        <v>48</v>
      </c>
      <c r="B63" s="3" t="inlineStr">
        <is>
          <t>Suggestions / kaizens for store improvement are generated and implemented.</t>
        </is>
      </c>
      <c r="C63" s="11" t="n"/>
      <c r="D63" s="2">
        <f>IF(C63="Yes",2,0)</f>
        <v/>
      </c>
      <c r="E63" s="12" t="n"/>
      <c r="F63" s="45" t="inlineStr">
        <is>
          <t>स्टोर सुधार के लिए सुझाव / काइज़ेन दिए जाते हैं और लागू किए जाते हैं।</t>
        </is>
      </c>
      <c r="G63" s="45" t="inlineStr">
        <is>
          <t>स्टोअर सुधारणेसाठी सूचना / कायझेन दिल्या जातात आणि अंमलात आणल्या जातात.</t>
        </is>
      </c>
    </row>
    <row r="64" ht="27.75" customHeight="1">
      <c r="A64" s="2" t="n">
        <v>49</v>
      </c>
      <c r="B64" s="3" t="inlineStr">
        <is>
          <t>Management reviews store 5S and inventory health periodically.</t>
        </is>
      </c>
      <c r="C64" s="11" t="n"/>
      <c r="D64" s="2">
        <f>IF(C64="Yes",2,0)</f>
        <v/>
      </c>
      <c r="E64" s="12" t="n"/>
      <c r="F64" s="45" t="inlineStr">
        <is>
          <t>प्रबंधन समय-समय पर स्टोर के 5S और इन्वेंटरी की स्थिति की समीक्षा करता है।</t>
        </is>
      </c>
      <c r="G64" s="45" t="inlineStr">
        <is>
          <t>व्यवस्थापन वेळोवेळी स्टोअरच्या 5S आणि इन्व्हेंटरीच्या स्थितीचा आढावा घेते.</t>
        </is>
      </c>
    </row>
    <row r="65" ht="27.75" customHeight="1">
      <c r="A65" s="2" t="n">
        <v>50</v>
      </c>
      <c r="B65" s="3" t="inlineStr">
        <is>
          <t>Store 5S audit score trend is stable or improving over the last 3 audits.</t>
        </is>
      </c>
      <c r="C65" s="11" t="n"/>
      <c r="D65" s="2">
        <f>IF(C65="Yes",2,0)</f>
        <v/>
      </c>
      <c r="E65" s="12" t="n"/>
      <c r="F65" s="45" t="inlineStr">
        <is>
          <t>पिछले 3 ऑडिट में स्टोर का 5S ऑडिट स्कोर स्थिर है या बेहतर हो रहा है।</t>
        </is>
      </c>
      <c r="G65" s="45" t="inlineStr">
        <is>
          <t>मागील 3 ऑडिटमध्ये स्टोअरचा 5S ऑडिट स्कोअर स्थिर आहे किंवा सुधारत आहे.</t>
        </is>
      </c>
    </row>
    <row r="66">
      <c r="A66" s="38" t="inlineStr">
        <is>
          <t>Sub-total 5S (out of 20)</t>
        </is>
      </c>
      <c r="B66" s="44" t="n"/>
      <c r="C66" s="43" t="n"/>
      <c r="D66" s="15">
        <f>SUM(D56:D65)</f>
        <v/>
      </c>
      <c r="E66" s="16" t="n"/>
      <c r="F66" s="16" t="n"/>
      <c r="G66" s="16" t="n"/>
    </row>
    <row r="67">
      <c r="A67" s="39" t="inlineStr">
        <is>
          <t>TOTAL SCORE (out of 100)</t>
        </is>
      </c>
      <c r="B67" s="44" t="n"/>
      <c r="C67" s="43" t="n"/>
      <c r="D67" s="17">
        <f>D18+D30+D42+D54+D66</f>
        <v/>
      </c>
      <c r="E67" s="10" t="n"/>
      <c r="F67" s="10" t="n"/>
      <c r="G67" s="10" t="n"/>
    </row>
    <row r="68">
      <c r="A68" s="40" t="inlineStr">
        <is>
          <t>PERCENTAGE</t>
        </is>
      </c>
      <c r="B68" s="44" t="n"/>
      <c r="C68" s="43" t="n"/>
      <c r="D68" s="18">
        <f>D67/100</f>
        <v/>
      </c>
      <c r="E68" s="19" t="n"/>
      <c r="F68" s="19" t="n"/>
      <c r="G68" s="19" t="n"/>
    </row>
    <row r="69">
      <c r="A69" s="40" t="inlineStr">
        <is>
          <t>RATING</t>
        </is>
      </c>
      <c r="B69" s="44" t="n"/>
      <c r="C69" s="43" t="n"/>
      <c r="D69" s="21">
        <f>IF(D68&gt;=0.9,"Outstanding",IF(D68&gt;=0.75,"On Track",IF(D68&gt;=0.6,"Improving","Needs Support")))</f>
        <v/>
      </c>
      <c r="E69" s="19" t="n"/>
      <c r="F69" s="19" t="n"/>
      <c r="G69" s="19" t="n"/>
    </row>
    <row r="70"/>
    <row r="71">
      <c r="A71" s="36" t="inlineStr">
        <is>
          <t>Rating scale:  ≥ 90% Outstanding  |  75–89% On Track  |  60–74% Improving  |  &lt; 60% Needs Support.  Points scored 'No' must be entered in the corrective action tracker.</t>
        </is>
      </c>
    </row>
    <row r="72"/>
    <row r="73">
      <c r="B73" s="20" t="inlineStr">
        <is>
          <t>Auditor Signature: ______________________</t>
        </is>
      </c>
      <c r="E73" s="20" t="inlineStr">
        <is>
          <t>Area Owner Signature: ______________________</t>
        </is>
      </c>
      <c r="F73" s="20" t="n"/>
      <c r="G73" s="20" t="n"/>
    </row>
    <row r="74">
      <c r="A74" s="22" t="inlineStr">
        <is>
          <t>Prepared by AB Associates, Nashik.</t>
        </is>
      </c>
    </row>
  </sheetData>
  <mergeCells count="16">
    <mergeCell ref="A42:C42"/>
    <mergeCell ref="A55:E55"/>
    <mergeCell ref="A68:C68"/>
    <mergeCell ref="A66:C66"/>
    <mergeCell ref="A43:E43"/>
    <mergeCell ref="A7:E7"/>
    <mergeCell ref="A19:E19"/>
    <mergeCell ref="A71:E71"/>
    <mergeCell ref="A18:C18"/>
    <mergeCell ref="A67:C67"/>
    <mergeCell ref="A1:E1"/>
    <mergeCell ref="A30:C30"/>
    <mergeCell ref="A69:C69"/>
    <mergeCell ref="A31:E31"/>
    <mergeCell ref="A54:C54"/>
    <mergeCell ref="E2:E4"/>
  </mergeCells>
  <dataValidations count="1">
    <dataValidation sqref="C8:C17 C20:C29 C32:C41 C44:C53 C56:C65" showDropDown="0" showInputMessage="0" showErrorMessage="1" allowBlank="1" errorTitle="Invalid entry" error="Please select Yes or No" type="list">
      <formula1>"Yes,No"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topLeftCell="A61" zoomScaleNormal="100" workbookViewId="0">
      <selection activeCell="A74" sqref="A74"/>
    </sheetView>
  </sheetViews>
  <sheetFormatPr baseColWidth="8" defaultColWidth="8.5703125" defaultRowHeight="15"/>
  <cols>
    <col width="6" customWidth="1" min="1" max="1"/>
    <col width="68" customWidth="1" min="2" max="2"/>
    <col width="12" customWidth="1" min="3" max="3"/>
    <col width="9" customWidth="1" min="4" max="4"/>
    <col width="32" customWidth="1" min="5" max="5"/>
    <col width="60" customWidth="1" min="6" max="6"/>
    <col width="60" customWidth="1" min="7" max="7"/>
  </cols>
  <sheetData>
    <row r="1" ht="25.5" customHeight="1">
      <c r="A1" s="29" t="inlineStr">
        <is>
          <t>5S AUDIT CHECK SHEET – PRODUCTION</t>
        </is>
      </c>
    </row>
    <row r="2" ht="15" customHeight="1">
      <c r="A2" s="14" t="inlineStr">
        <is>
          <t>Company:</t>
        </is>
      </c>
      <c r="B2" s="13" t="n"/>
      <c r="C2" s="14" t="inlineStr">
        <is>
          <t>Audit Date:</t>
        </is>
      </c>
      <c r="D2" s="13" t="n"/>
      <c r="E2" s="41" t="inlineStr">
        <is>
          <t>Scoring: Yes = 2 marks, No = 0 marks.
Max score = 100.</t>
        </is>
      </c>
    </row>
    <row r="3">
      <c r="A3" s="14" t="inlineStr">
        <is>
          <t>Area / Dept.:</t>
        </is>
      </c>
      <c r="B3" s="13" t="inlineStr">
        <is>
          <t>Production</t>
        </is>
      </c>
      <c r="C3" s="14" t="inlineStr">
        <is>
          <t>Auditor Name:</t>
        </is>
      </c>
      <c r="D3" s="13" t="n"/>
    </row>
    <row r="4">
      <c r="A4" s="14" t="inlineStr">
        <is>
          <t>Shift:</t>
        </is>
      </c>
      <c r="B4" s="13" t="n"/>
      <c r="C4" s="14" t="inlineStr">
        <is>
          <t>Auditee / Area Owner:</t>
        </is>
      </c>
      <c r="D4" s="13" t="n"/>
    </row>
    <row r="5"/>
    <row r="6" ht="19.5" customHeight="1">
      <c r="A6" s="1" t="inlineStr">
        <is>
          <t>Sr.</t>
        </is>
      </c>
      <c r="B6" s="1" t="inlineStr">
        <is>
          <t>Check Point</t>
        </is>
      </c>
      <c r="C6" s="1" t="inlineStr">
        <is>
          <t>Yes / No</t>
        </is>
      </c>
      <c r="D6" s="1" t="inlineStr">
        <is>
          <t>Marks</t>
        </is>
      </c>
      <c r="E6" s="1" t="inlineStr">
        <is>
          <t>Remarks / Observations</t>
        </is>
      </c>
      <c r="F6" s="1" t="inlineStr">
        <is>
          <t>Check Point (Hindi)</t>
        </is>
      </c>
      <c r="G6" s="1" t="inlineStr">
        <is>
          <t>Check Point (Marathi)</t>
        </is>
      </c>
    </row>
    <row r="7">
      <c r="A7" s="37" t="inlineStr">
        <is>
          <t>1S – SEIRI (SORT)</t>
        </is>
      </c>
      <c r="B7" s="44" t="n"/>
      <c r="C7" s="44" t="n"/>
      <c r="D7" s="44" t="n"/>
      <c r="E7" s="43" t="n"/>
      <c r="F7" s="43" t="n"/>
      <c r="G7" s="43" t="n"/>
    </row>
    <row r="8" ht="27.75" customHeight="1">
      <c r="A8" s="2" t="n">
        <v>1</v>
      </c>
      <c r="B8" s="3" t="inlineStr">
        <is>
          <t>Only materials required for the current production plan are at the line.</t>
        </is>
      </c>
      <c r="C8" s="11" t="n"/>
      <c r="D8" s="2">
        <f>IF(C8="Yes",2,0)</f>
        <v/>
      </c>
      <c r="E8" s="12" t="n"/>
      <c r="F8" s="45" t="inlineStr">
        <is>
          <t>लाइन पर केवल वर्तमान उत्पादन योजना के लिए ज़रूरी सामग्री ही है।</t>
        </is>
      </c>
      <c r="G8" s="45" t="inlineStr">
        <is>
          <t>लाईनवर फक्त चालू उत्पादन योजनेसाठी आवश्यक साहित्यच आहे.</t>
        </is>
      </c>
    </row>
    <row r="9" ht="27.75" customHeight="1">
      <c r="A9" s="2" t="n">
        <v>2</v>
      </c>
      <c r="B9" s="3" t="inlineStr">
        <is>
          <t>Unwanted tools, fixtures and change parts are removed from workstations.</t>
        </is>
      </c>
      <c r="C9" s="11" t="n"/>
      <c r="D9" s="2">
        <f>IF(C9="Yes",2,0)</f>
        <v/>
      </c>
      <c r="E9" s="12" t="n"/>
      <c r="F9" s="45" t="inlineStr">
        <is>
          <t>अनावश्यक औज़ार, फ़िक्स्चर और चेंज-ओवर पार्ट्स वर्कस्टेशन से हटा दिए गए हैं।</t>
        </is>
      </c>
      <c r="G9" s="45" t="inlineStr">
        <is>
          <t>नको असलेले टूल्स, फिक्स्चर आणि चेंज-ओव्हर पार्ट्स वर्कस्टेशनवरून काढून टाकले आहेत.</t>
        </is>
      </c>
    </row>
    <row r="10" ht="27.75" customHeight="1">
      <c r="A10" s="2" t="n">
        <v>3</v>
      </c>
      <c r="B10" s="3" t="inlineStr">
        <is>
          <t>Rejected parts are segregated in red bins and moved out at defined frequency.</t>
        </is>
      </c>
      <c r="C10" s="11" t="n"/>
      <c r="D10" s="2">
        <f>IF(C10="Yes",2,0)</f>
        <v/>
      </c>
      <c r="E10" s="12" t="n"/>
      <c r="F10" s="45" t="inlineStr">
        <is>
          <t>रिजेक्ट पुर्ज़े लाल बिनों में अलग रखे जाते हैं और तय अंतराल पर बाहर भेजे जाते हैं।</t>
        </is>
      </c>
      <c r="G10" s="45" t="inlineStr">
        <is>
          <t>रिजेक्ट पार्ट्स लाल बिनमध्ये वेगळे ठेवले जातात आणि ठरलेल्या अंतराने बाहेर पाठवले जातात.</t>
        </is>
      </c>
    </row>
    <row r="11" ht="27.75" customHeight="1">
      <c r="A11" s="2" t="n">
        <v>4</v>
      </c>
      <c r="B11" s="3" t="inlineStr">
        <is>
          <t>Rework items are identified, quantified and stored in a marked area.</t>
        </is>
      </c>
      <c r="C11" s="11" t="n"/>
      <c r="D11" s="2">
        <f>IF(C11="Yes",2,0)</f>
        <v/>
      </c>
      <c r="E11" s="12" t="n"/>
      <c r="F11" s="45" t="inlineStr">
        <is>
          <t>रीवर्क वाली वस्तुएँ पहचानी गई हैं, गिनी गई हैं और चिह्नित क्षेत्र में रखी गई हैं।</t>
        </is>
      </c>
      <c r="G11" s="45" t="inlineStr">
        <is>
          <t>रीवर्कच्या वस्तू ओळखलेल्या आहेत, मोजलेल्या आहेत आणि आखलेल्या क्षेत्रात ठेवलेल्या आहेत.</t>
        </is>
      </c>
    </row>
    <row r="12" ht="27.75" customHeight="1">
      <c r="A12" s="2" t="n">
        <v>5</v>
      </c>
      <c r="B12" s="3" t="inlineStr">
        <is>
          <t>Obsolete formats, drawings and displays are removed from the line.</t>
        </is>
      </c>
      <c r="C12" s="11" t="n"/>
      <c r="D12" s="2">
        <f>IF(C12="Yes",2,0)</f>
        <v/>
      </c>
      <c r="E12" s="12" t="n"/>
      <c r="F12" s="45" t="inlineStr">
        <is>
          <t>पुराने फ़ॉर्मेट, ड्रॉइंग और डिस्प्ले लाइन से हटा दिए गए हैं।</t>
        </is>
      </c>
      <c r="G12" s="45" t="inlineStr">
        <is>
          <t>जुने फॉरमॅट, ड्रॉइंग आणि डिस्प्ले लाईनवरून काढून टाकले आहेत.</t>
        </is>
      </c>
    </row>
    <row r="13" ht="27.75" customHeight="1">
      <c r="A13" s="2" t="n">
        <v>6</v>
      </c>
      <c r="B13" s="3" t="inlineStr">
        <is>
          <t>No excess consumables (gloves, cutting tools, spares) hoarded at stations.</t>
        </is>
      </c>
      <c r="C13" s="11" t="n"/>
      <c r="D13" s="2">
        <f>IF(C13="Yes",2,0)</f>
        <v/>
      </c>
      <c r="E13" s="12" t="n"/>
      <c r="F13" s="45" t="inlineStr">
        <is>
          <t>स्टेशनों पर ज़रूरत से ज़्यादा उपभोग्य सामान (दस्ताने, कटिंग टूल, स्पेयर) जमा करके नहीं रखा है।</t>
        </is>
      </c>
      <c r="G13" s="45" t="inlineStr">
        <is>
          <t>स्टेशनवर गरजेपेक्षा जास्त कंझ्युमेबल्स (हातमोजे, कटिंग टूल, स्पेअर) साठवून ठेवलेले नाहीत.</t>
        </is>
      </c>
    </row>
    <row r="14" ht="27.75" customHeight="1">
      <c r="A14" s="2" t="n">
        <v>7</v>
      </c>
      <c r="B14" s="3" t="inlineStr">
        <is>
          <t>Empty packaging, dunnage and trolleys are returned to designated areas promptly.</t>
        </is>
      </c>
      <c r="C14" s="11" t="n"/>
      <c r="D14" s="2">
        <f>IF(C14="Yes",2,0)</f>
        <v/>
      </c>
      <c r="E14" s="12" t="n"/>
      <c r="F14" s="45" t="inlineStr">
        <is>
          <t>खाली पैकेजिंग, डनेज (पैकिंग के सहारे का सामान) और ट्रॉलियाँ तुरंत तय जगहों पर लौटा दी जाती हैं।</t>
        </is>
      </c>
      <c r="G14" s="45" t="inlineStr">
        <is>
          <t>रिकामे पॅकेजिंग, डनेज (पॅकिंगला आधार देणारे साहित्य) आणि ट्रॉली लगेच ठरलेल्या जागी परत नेल्या जातात.</t>
        </is>
      </c>
    </row>
    <row r="15" ht="27.75" customHeight="1">
      <c r="A15" s="2" t="n">
        <v>8</v>
      </c>
      <c r="B15" s="3" t="inlineStr">
        <is>
          <t>WIP between stations is within the defined standard quantity.</t>
        </is>
      </c>
      <c r="C15" s="11" t="n"/>
      <c r="D15" s="2">
        <f>IF(C15="Yes",2,0)</f>
        <v/>
      </c>
      <c r="E15" s="12" t="n"/>
      <c r="F15" s="45" t="inlineStr">
        <is>
          <t>स्टेशनों के बीच WIP तय मानक मात्रा के भीतर है।</t>
        </is>
      </c>
      <c r="G15" s="45" t="inlineStr">
        <is>
          <t>स्टेशनमधील WIP ठरवलेल्या मानक संख्येच्या आत आहे.</t>
        </is>
      </c>
    </row>
    <row r="16" ht="27.75" customHeight="1">
      <c r="A16" s="2" t="n">
        <v>9</v>
      </c>
      <c r="B16" s="3" t="inlineStr">
        <is>
          <t>A red-tag area is defined near the line and cleared within the time limit.</t>
        </is>
      </c>
      <c r="C16" s="11" t="n"/>
      <c r="D16" s="2">
        <f>IF(C16="Yes",2,0)</f>
        <v/>
      </c>
      <c r="E16" s="12" t="n"/>
      <c r="F16" s="45" t="inlineStr">
        <is>
          <t>लाइन के पास रेड-टैग क्षेत्र तय है और समय-सीमा के भीतर खाली किया जाता है।</t>
        </is>
      </c>
      <c r="G16" s="45" t="inlineStr">
        <is>
          <t>लाईनजवळ रेड-टॅग क्षेत्र ठरलेले आहे आणि ठरलेल्या वेळेत रिकामे केले जाते.</t>
        </is>
      </c>
    </row>
    <row r="17" ht="27.75" customHeight="1">
      <c r="A17" s="2" t="n">
        <v>10</v>
      </c>
      <c r="B17" s="3" t="inlineStr">
        <is>
          <t>No personal items at workstations.</t>
        </is>
      </c>
      <c r="C17" s="11" t="n"/>
      <c r="D17" s="2">
        <f>IF(C17="Yes",2,0)</f>
        <v/>
      </c>
      <c r="E17" s="12" t="n"/>
      <c r="F17" s="45" t="inlineStr">
        <is>
          <t>वर्कस्टेशन पर कोई निजी सामान नहीं है।</t>
        </is>
      </c>
      <c r="G17" s="45" t="inlineStr">
        <is>
          <t>वर्कस्टेशनवर कोणतेही वैयक्तिक सामान नाही.</t>
        </is>
      </c>
    </row>
    <row r="18">
      <c r="A18" s="38" t="inlineStr">
        <is>
          <t>Sub-total 1S (out of 20)</t>
        </is>
      </c>
      <c r="B18" s="44" t="n"/>
      <c r="C18" s="43" t="n"/>
      <c r="D18" s="15">
        <f>SUM(D8:D17)</f>
        <v/>
      </c>
      <c r="E18" s="16" t="n"/>
      <c r="F18" s="16" t="n"/>
      <c r="G18" s="16" t="n"/>
    </row>
    <row r="19">
      <c r="A19" s="37" t="inlineStr">
        <is>
          <t>2S – SEITON (SET IN ORDER)</t>
        </is>
      </c>
      <c r="B19" s="44" t="n"/>
      <c r="C19" s="44" t="n"/>
      <c r="D19" s="44" t="n"/>
      <c r="E19" s="43" t="n"/>
      <c r="F19" s="43" t="n"/>
      <c r="G19" s="43" t="n"/>
    </row>
    <row r="20" ht="27.75" customHeight="1">
      <c r="A20" s="2" t="n">
        <v>11</v>
      </c>
      <c r="B20" s="3" t="inlineStr">
        <is>
          <t>Line layout with marked locations for input, output and WIP material exists.</t>
        </is>
      </c>
      <c r="C20" s="11" t="n"/>
      <c r="D20" s="2">
        <f>IF(C20="Yes",2,0)</f>
        <v/>
      </c>
      <c r="E20" s="12" t="n"/>
      <c r="F20" s="45" t="inlineStr">
        <is>
          <t>इनपुट, आउटपुट और WIP सामग्री की चिह्नित जगहों के साथ लाइन का लेआउट मौजूद है।</t>
        </is>
      </c>
      <c r="G20" s="45" t="inlineStr">
        <is>
          <t>इनपुट, आउटपुट आणि WIP मालाच्या आखलेल्या जागांसह लाईनचा लेआउट उपलब्ध आहे.</t>
        </is>
      </c>
    </row>
    <row r="21" ht="27.75" customHeight="1">
      <c r="A21" s="2" t="n">
        <v>12</v>
      </c>
      <c r="B21" s="3" t="inlineStr">
        <is>
          <t>Change-over parts / tooling are stored on labelled racks near the line.</t>
        </is>
      </c>
      <c r="C21" s="11" t="n"/>
      <c r="D21" s="2">
        <f>IF(C21="Yes",2,0)</f>
        <v/>
      </c>
      <c r="E21" s="12" t="n"/>
      <c r="F21" s="45" t="inlineStr">
        <is>
          <t>चेंज-ओवर पार्ट्स / टूलिंग लाइन के पास लेबल लगे रैकों पर रखे हैं।</t>
        </is>
      </c>
      <c r="G21" s="45" t="inlineStr">
        <is>
          <t>चेंज-ओव्हर पार्ट्स / टूलिंग लाईनजवळ लेबल लावलेल्या रॅकवर ठेवलेले आहेत.</t>
        </is>
      </c>
    </row>
    <row r="22" ht="27.75" customHeight="1">
      <c r="A22" s="2" t="n">
        <v>13</v>
      </c>
      <c r="B22" s="3" t="inlineStr">
        <is>
          <t>Tools at stations are on shadow boards with outlines and labels.</t>
        </is>
      </c>
      <c r="C22" s="11" t="n"/>
      <c r="D22" s="2">
        <f>IF(C22="Yes",2,0)</f>
        <v/>
      </c>
      <c r="E22" s="12" t="n"/>
      <c r="F22" s="45" t="inlineStr">
        <is>
          <t>स्टेशनों पर औज़ार आकृति (आउटलाइन) और लेबल वाले शैडो बोर्ड पर रखे हैं।</t>
        </is>
      </c>
      <c r="G22" s="45" t="inlineStr">
        <is>
          <t>स्टेशनवरील टूल्स बाह्यरेषा (आउटलाइन) आणि लेबल असलेल्या शॅडो बोर्डवर ठेवलेले आहेत.</t>
        </is>
      </c>
    </row>
    <row r="23" ht="27.75" customHeight="1">
      <c r="A23" s="2" t="n">
        <v>14</v>
      </c>
      <c r="B23" s="3" t="inlineStr">
        <is>
          <t>Line-side bins are labelled with part number and standard quantity.</t>
        </is>
      </c>
      <c r="C23" s="11" t="n"/>
      <c r="D23" s="2">
        <f>IF(C23="Yes",2,0)</f>
        <v/>
      </c>
      <c r="E23" s="12" t="n"/>
      <c r="F23" s="45" t="inlineStr">
        <is>
          <t>लाइन के पास रखे बिनों पर पार्ट नंबर और मानक मात्रा का लेबल लगा है।</t>
        </is>
      </c>
      <c r="G23" s="45" t="inlineStr">
        <is>
          <t>लाईनजवळील बिनवर पार्ट क्रमांक आणि मानक संख्येचे लेबल लावलेले आहे.</t>
        </is>
      </c>
    </row>
    <row r="24" ht="27.75" customHeight="1">
      <c r="A24" s="2" t="n">
        <v>15</v>
      </c>
      <c r="B24" s="3" t="inlineStr">
        <is>
          <t>Material flow follows FIFO with visual indication (lanes, cards, boards).</t>
        </is>
      </c>
      <c r="C24" s="11" t="n"/>
      <c r="D24" s="2">
        <f>IF(C24="Yes",2,0)</f>
        <v/>
      </c>
      <c r="E24" s="12" t="n"/>
      <c r="F24" s="45" t="inlineStr">
        <is>
          <t>माल का प्रवाह FIFO के अनुसार है और उसका दृश्य संकेत (लेन, कार्ड, बोर्ड) मौजूद है।</t>
        </is>
      </c>
      <c r="G24" s="45" t="inlineStr">
        <is>
          <t>मालाचा प्रवाह FIFO नुसार आहे आणि त्याची दृश्य खूण (लेन, कार्ड, बोर्ड) आहे.</t>
        </is>
      </c>
    </row>
    <row r="25" ht="27.75" customHeight="1">
      <c r="A25" s="2" t="n">
        <v>16</v>
      </c>
      <c r="B25" s="3" t="inlineStr">
        <is>
          <t>Fixtures, gauges and inspection instruments have designated protected locations.</t>
        </is>
      </c>
      <c r="C25" s="11" t="n"/>
      <c r="D25" s="2">
        <f>IF(C25="Yes",2,0)</f>
        <v/>
      </c>
      <c r="E25" s="12" t="n"/>
      <c r="F25" s="45" t="inlineStr">
        <is>
          <t>फ़िक्स्चर, गेज और निरीक्षण उपकरणों के लिए तय और सुरक्षित जगहें हैं।</t>
        </is>
      </c>
      <c r="G25" s="45" t="inlineStr">
        <is>
          <t>फिक्स्चर, गेज आणि तपासणी उपकरणांसाठी ठरलेल्या सुरक्षित जागा आहेत.</t>
        </is>
      </c>
    </row>
    <row r="26" ht="27.75" customHeight="1">
      <c r="A26" s="2" t="n">
        <v>17</v>
      </c>
      <c r="B26" s="3" t="inlineStr">
        <is>
          <t>Trolleys, pallets and handling equipment have marked parking locations.</t>
        </is>
      </c>
      <c r="C26" s="11" t="n"/>
      <c r="D26" s="2">
        <f>IF(C26="Yes",2,0)</f>
        <v/>
      </c>
      <c r="E26" s="12" t="n"/>
      <c r="F26" s="45" t="inlineStr">
        <is>
          <t>ट्रॉली, पैलेट और माल ढोने के उपकरणों के लिए चिह्नित पार्किंग जगहें हैं।</t>
        </is>
      </c>
      <c r="G26" s="45" t="inlineStr">
        <is>
          <t>ट्रॉली, पॅलेट आणि माल हाताळणीच्या उपकरणांसाठी आखलेल्या पार्किंग जागा आहेत.</t>
        </is>
      </c>
    </row>
    <row r="27" ht="27.75" customHeight="1">
      <c r="A27" s="2" t="n">
        <v>18</v>
      </c>
      <c r="B27" s="3" t="inlineStr">
        <is>
          <t>Status identification (OK / Not OK / Under Inspection) tags are used correctly.</t>
        </is>
      </c>
      <c r="C27" s="11" t="n"/>
      <c r="D27" s="2">
        <f>IF(C27="Yes",2,0)</f>
        <v/>
      </c>
      <c r="E27" s="12" t="n"/>
      <c r="F27" s="45" t="inlineStr">
        <is>
          <t>स्थिति पहचान टैग (OK / Not OK / जाँच जारी) का सही उपयोग होता है।</t>
        </is>
      </c>
      <c r="G27" s="45" t="inlineStr">
        <is>
          <t>स्थिती ओळख टॅग (OK / Not OK / तपासणी सुरू) योग्य प्रकारे वापरले जातात.</t>
        </is>
      </c>
    </row>
    <row r="28" ht="27.75" customHeight="1">
      <c r="A28" s="2" t="n">
        <v>19</v>
      </c>
      <c r="B28" s="3" t="inlineStr">
        <is>
          <t>Production boards (plan vs actual, quality, OEE) are placed at defined locations.</t>
        </is>
      </c>
      <c r="C28" s="11" t="n"/>
      <c r="D28" s="2">
        <f>IF(C28="Yes",2,0)</f>
        <v/>
      </c>
      <c r="E28" s="12" t="n"/>
      <c r="F28" s="45" t="inlineStr">
        <is>
          <t>उत्पादन बोर्ड (योजना बनाम वास्तविक, गुणवत्ता, OEE) तय जगहों पर लगे हैं।</t>
        </is>
      </c>
      <c r="G28" s="45" t="inlineStr">
        <is>
          <t>उत्पादन फलक (योजना विरुद्ध प्रत्यक्ष, गुणवत्ता, OEE) ठरलेल्या ठिकाणी लावलेले आहेत.</t>
        </is>
      </c>
    </row>
    <row r="29" ht="27.75" customHeight="1">
      <c r="A29" s="2" t="n">
        <v>20</v>
      </c>
      <c r="B29" s="3" t="inlineStr">
        <is>
          <t>Nothing is placed directly on the floor; all items on stands, pallets or bins.</t>
        </is>
      </c>
      <c r="C29" s="11" t="n"/>
      <c r="D29" s="2">
        <f>IF(C29="Yes",2,0)</f>
        <v/>
      </c>
      <c r="E29" s="12" t="n"/>
      <c r="F29" s="45" t="inlineStr">
        <is>
          <t>कुछ भी सीधे फ़र्श पर नहीं रखा है; सब कुछ स्टैंड, पैलेट या बिन पर है।</t>
        </is>
      </c>
      <c r="G29" s="45" t="inlineStr">
        <is>
          <t>काहीही थेट जमिनीवर ठेवलेले नाही; सर्व काही स्टँड, पॅलेट किंवा बिनवर आहे.</t>
        </is>
      </c>
    </row>
    <row r="30">
      <c r="A30" s="38" t="inlineStr">
        <is>
          <t>Sub-total 2S (out of 20)</t>
        </is>
      </c>
      <c r="B30" s="44" t="n"/>
      <c r="C30" s="43" t="n"/>
      <c r="D30" s="15">
        <f>SUM(D20:D29)</f>
        <v/>
      </c>
      <c r="E30" s="16" t="n"/>
      <c r="F30" s="16" t="n"/>
      <c r="G30" s="16" t="n"/>
    </row>
    <row r="31">
      <c r="A31" s="37" t="inlineStr">
        <is>
          <t>3S – SEISO (SHINE)</t>
        </is>
      </c>
      <c r="B31" s="44" t="n"/>
      <c r="C31" s="44" t="n"/>
      <c r="D31" s="44" t="n"/>
      <c r="E31" s="43" t="n"/>
      <c r="F31" s="43" t="n"/>
      <c r="G31" s="43" t="n"/>
    </row>
    <row r="32" ht="27.75" customHeight="1">
      <c r="A32" s="2" t="n">
        <v>21</v>
      </c>
      <c r="B32" s="3" t="inlineStr">
        <is>
          <t>Machines are cleaned as per the daily autonomous maintenance / CLIT schedule.</t>
        </is>
      </c>
      <c r="C32" s="11" t="n"/>
      <c r="D32" s="2">
        <f>IF(C32="Yes",2,0)</f>
        <v/>
      </c>
      <c r="E32" s="12" t="n"/>
      <c r="F32" s="45" t="inlineStr">
        <is>
          <t>मशीनों की सफ़ाई दैनिक ऑटोनॉमस मेंटेनेंस / CLIT शेड्यूल के अनुसार होती है।</t>
        </is>
      </c>
      <c r="G32" s="45" t="inlineStr">
        <is>
          <t>मशीनची स्वच्छता दैनंदिन ऑटोनॉमस मेंटेनन्स / CLIT वेळापत्रकानुसार होते.</t>
        </is>
      </c>
    </row>
    <row r="33" ht="27.75" customHeight="1">
      <c r="A33" s="2" t="n">
        <v>22</v>
      </c>
      <c r="B33" s="3" t="inlineStr">
        <is>
          <t>No oil, coolant, air or water leakage at machines and connections.</t>
        </is>
      </c>
      <c r="C33" s="11" t="n"/>
      <c r="D33" s="2">
        <f>IF(C33="Yes",2,0)</f>
        <v/>
      </c>
      <c r="E33" s="12" t="n"/>
      <c r="F33" s="45" t="inlineStr">
        <is>
          <t>मशीनों और कनेक्शनों पर तेल, कूलेंट, हवा या पानी का कोई लीकेज नहीं है।</t>
        </is>
      </c>
      <c r="G33" s="45" t="inlineStr">
        <is>
          <t>मशीन आणि कनेक्शनवर तेल, कूलंट, हवा किंवा पाण्याची कोणतीही गळती नाही.</t>
        </is>
      </c>
    </row>
    <row r="34" ht="27.75" customHeight="1">
      <c r="A34" s="2" t="n">
        <v>23</v>
      </c>
      <c r="B34" s="3" t="inlineStr">
        <is>
          <t>Machine guards, panels and covers are clean, intact and in place.</t>
        </is>
      </c>
      <c r="C34" s="11" t="n"/>
      <c r="D34" s="2">
        <f>IF(C34="Yes",2,0)</f>
        <v/>
      </c>
      <c r="E34" s="12" t="n"/>
      <c r="F34" s="45" t="inlineStr">
        <is>
          <t>मशीन गार्ड, पैनल और कवर साफ़, सही-सलामत और अपनी जगह पर लगे हैं।</t>
        </is>
      </c>
      <c r="G34" s="45" t="inlineStr">
        <is>
          <t>मशीन गार्ड, पॅनल आणि कव्हर स्वच्छ, सुस्थितीत आणि जागेवर बसवलेले आहेत.</t>
        </is>
      </c>
    </row>
    <row r="35" ht="27.75" customHeight="1">
      <c r="A35" s="2" t="n">
        <v>24</v>
      </c>
      <c r="B35" s="3" t="inlineStr">
        <is>
          <t>Floors around the line are free of chips, dust, oil and material spillage.</t>
        </is>
      </c>
      <c r="C35" s="11" t="n"/>
      <c r="D35" s="2">
        <f>IF(C35="Yes",2,0)</f>
        <v/>
      </c>
      <c r="E35" s="12" t="n"/>
      <c r="F35" s="45" t="inlineStr">
        <is>
          <t>लाइन के आसपास का फ़र्श चिप्स, धूल, तेल और गिरे हुए माल से मुक्त है।</t>
        </is>
      </c>
      <c r="G35" s="45" t="inlineStr">
        <is>
          <t>लाईनभोवतीची फरशी चिप्स, धूळ, तेल आणि सांडलेल्या मालापासून मुक्त आहे.</t>
        </is>
      </c>
    </row>
    <row r="36" ht="27.75" customHeight="1">
      <c r="A36" s="2" t="n">
        <v>25</v>
      </c>
      <c r="B36" s="3" t="inlineStr">
        <is>
          <t>Sensors, limit switches and control panels are clean and dust-free.</t>
        </is>
      </c>
      <c r="C36" s="11" t="n"/>
      <c r="D36" s="2">
        <f>IF(C36="Yes",2,0)</f>
        <v/>
      </c>
      <c r="E36" s="12" t="n"/>
      <c r="F36" s="45" t="inlineStr">
        <is>
          <t>सेंसर, लिमिट स्विच और कंट्रोल पैनल साफ़ और धूल-रहित हैं।</t>
        </is>
      </c>
      <c r="G36" s="45" t="inlineStr">
        <is>
          <t>सेन्सर, लिमिट स्विच आणि कंट्रोल पॅनल स्वच्छ आणि धूळविरहित आहेत.</t>
        </is>
      </c>
    </row>
    <row r="37" ht="27.75" customHeight="1">
      <c r="A37" s="2" t="n">
        <v>26</v>
      </c>
      <c r="B37" s="3" t="inlineStr">
        <is>
          <t>Chip / scrap conveyors and bins are cleared before overflow.</t>
        </is>
      </c>
      <c r="C37" s="11" t="n"/>
      <c r="D37" s="2">
        <f>IF(C37="Yes",2,0)</f>
        <v/>
      </c>
      <c r="E37" s="12" t="n"/>
      <c r="F37" s="45" t="inlineStr">
        <is>
          <t>चिप / स्क्रैप कन्वेयर और बिन भरकर बाहर गिरने से पहले खाली किए जाते हैं।</t>
        </is>
      </c>
      <c r="G37" s="45" t="inlineStr">
        <is>
          <t>चिप / स्क्रॅप कन्व्हेयर आणि बिन भरून वाहण्यापूर्वी रिकामे केले जातात.</t>
        </is>
      </c>
    </row>
    <row r="38" ht="27.75" customHeight="1">
      <c r="A38" s="2" t="n">
        <v>27</v>
      </c>
      <c r="B38" s="3" t="inlineStr">
        <is>
          <t>Cleaning-cum-inspection reveals abnormalities which are tagged (fuguai tags).</t>
        </is>
      </c>
      <c r="C38" s="11" t="n"/>
      <c r="D38" s="2">
        <f>IF(C38="Yes",2,0)</f>
        <v/>
      </c>
      <c r="E38" s="12" t="n"/>
      <c r="F38" s="45" t="inlineStr">
        <is>
          <t>सफ़ाई के साथ-साथ निरीक्षण से असामान्यताएँ पकड़ी जाती हैं और उन पर टैग (फ़ुगुआई टैग) लगाए जाते हैं।</t>
        </is>
      </c>
      <c r="G38" s="45" t="inlineStr">
        <is>
          <t>स्वच्छतेसोबत केलेल्या तपासणीत असामान्य गोष्टी आढळतात आणि त्यांवर टॅग (फुगुआई टॅग) लावले जातात.</t>
        </is>
      </c>
    </row>
    <row r="39" ht="27.75" customHeight="1">
      <c r="A39" s="2" t="n">
        <v>28</v>
      </c>
      <c r="B39" s="3" t="inlineStr">
        <is>
          <t>Lighting at workstations is adequate; fixtures are clean and working.</t>
        </is>
      </c>
      <c r="C39" s="11" t="n"/>
      <c r="D39" s="2">
        <f>IF(C39="Yes",2,0)</f>
        <v/>
      </c>
      <c r="E39" s="12" t="n"/>
      <c r="F39" s="45" t="inlineStr">
        <is>
          <t>वर्कस्टेशनों पर रोशनी पर्याप्त है; लाइट फ़िटिंग साफ़ और चालू हैं।</t>
        </is>
      </c>
      <c r="G39" s="45" t="inlineStr">
        <is>
          <t>वर्कस्टेशनवर प्रकाश पुरेसा आहे; लाईट फिटिंग स्वच्छ आणि चालू आहेत.</t>
        </is>
      </c>
    </row>
    <row r="40" ht="27.75" customHeight="1">
      <c r="A40" s="2" t="n">
        <v>29</v>
      </c>
      <c r="B40" s="3" t="inlineStr">
        <is>
          <t>Coolant / lubricant condition is checked and maintained as per standard.</t>
        </is>
      </c>
      <c r="C40" s="11" t="n"/>
      <c r="D40" s="2">
        <f>IF(C40="Yes",2,0)</f>
        <v/>
      </c>
      <c r="E40" s="12" t="n"/>
      <c r="F40" s="45" t="inlineStr">
        <is>
          <t>कूलेंट / लुब्रिकेंट की स्थिति मानक के अनुसार जाँची और बनाए रखी जाती है।</t>
        </is>
      </c>
      <c r="G40" s="45" t="inlineStr">
        <is>
          <t>कूलंट / ल्युब्रिकंटची स्थिती मानकानुसार तपासली जाते आणि राखली जाते.</t>
        </is>
      </c>
    </row>
    <row r="41" ht="27.75" customHeight="1">
      <c r="A41" s="2" t="n">
        <v>30</v>
      </c>
      <c r="B41" s="3" t="inlineStr">
        <is>
          <t>Cleaning materials are available at the line with a fixed storage place.</t>
        </is>
      </c>
      <c r="C41" s="11" t="n"/>
      <c r="D41" s="2">
        <f>IF(C41="Yes",2,0)</f>
        <v/>
      </c>
      <c r="E41" s="12" t="n"/>
      <c r="F41" s="45" t="inlineStr">
        <is>
          <t>सफ़ाई का सामान लाइन पर उपलब्ध है और उसकी एक तय जगह है।</t>
        </is>
      </c>
      <c r="G41" s="45" t="inlineStr">
        <is>
          <t>स्वच्छतेचे साहित्य लाईनवर उपलब्ध आहे आणि त्याची ठरलेली जागा आहे.</t>
        </is>
      </c>
    </row>
    <row r="42">
      <c r="A42" s="38" t="inlineStr">
        <is>
          <t>Sub-total 3S (out of 20)</t>
        </is>
      </c>
      <c r="B42" s="44" t="n"/>
      <c r="C42" s="43" t="n"/>
      <c r="D42" s="15">
        <f>SUM(D32:D41)</f>
        <v/>
      </c>
      <c r="E42" s="16" t="n"/>
      <c r="F42" s="16" t="n"/>
      <c r="G42" s="16" t="n"/>
    </row>
    <row r="43">
      <c r="A43" s="37" t="inlineStr">
        <is>
          <t>4S – SEIKETSU (STANDARDIZE)</t>
        </is>
      </c>
      <c r="B43" s="44" t="n"/>
      <c r="C43" s="44" t="n"/>
      <c r="D43" s="44" t="n"/>
      <c r="E43" s="43" t="n"/>
      <c r="F43" s="43" t="n"/>
      <c r="G43" s="43" t="n"/>
    </row>
    <row r="44" ht="27.75" customHeight="1">
      <c r="A44" s="2" t="n">
        <v>31</v>
      </c>
      <c r="B44" s="3" t="inlineStr">
        <is>
          <t>One-point lessons / visual SOPs are displayed at workstations.</t>
        </is>
      </c>
      <c r="C44" s="11" t="n"/>
      <c r="D44" s="2">
        <f>IF(C44="Yes",2,0)</f>
        <v/>
      </c>
      <c r="E44" s="12" t="n"/>
      <c r="F44" s="45" t="inlineStr">
        <is>
          <t>वर्कस्टेशनों पर वन-पॉइंट लेसन / चित्र वाले SOP लगे हैं।</t>
        </is>
      </c>
      <c r="G44" s="45" t="inlineStr">
        <is>
          <t>वर्कस्टेशनवर वन-पॉइंट लेसन / चित्रांसह SOP लावलेले आहेत.</t>
        </is>
      </c>
    </row>
    <row r="45" ht="27.75" customHeight="1">
      <c r="A45" s="2" t="n">
        <v>32</v>
      </c>
      <c r="B45" s="3" t="inlineStr">
        <is>
          <t>CLIT (Clean-Lubricate-Inspect-Tighten) standards are displayed at machines.</t>
        </is>
      </c>
      <c r="C45" s="11" t="n"/>
      <c r="D45" s="2">
        <f>IF(C45="Yes",2,0)</f>
        <v/>
      </c>
      <c r="E45" s="12" t="n"/>
      <c r="F45" s="45" t="inlineStr">
        <is>
          <t>मशीनों पर CLIT (सफ़ाई-लुब्रिकेशन-निरीक्षण-टाइट करना) मानक लगे हैं।</t>
        </is>
      </c>
      <c r="G45" s="45" t="inlineStr">
        <is>
          <t>मशीनवर CLIT (स्वच्छता-वंगण-तपासणी-घट्ट करणे) मानके लावलेली आहेत.</t>
        </is>
      </c>
    </row>
    <row r="46" ht="27.75" customHeight="1">
      <c r="A46" s="2" t="n">
        <v>33</v>
      </c>
      <c r="B46" s="3" t="inlineStr">
        <is>
          <t>Quality standards / limit samples are displayed at inspection points.</t>
        </is>
      </c>
      <c r="C46" s="11" t="n"/>
      <c r="D46" s="2">
        <f>IF(C46="Yes",2,0)</f>
        <v/>
      </c>
      <c r="E46" s="12" t="n"/>
      <c r="F46" s="45" t="inlineStr">
        <is>
          <t>निरीक्षण स्थानों पर गुणवत्ता मानक / लिमिट सैंपल लगाए गए हैं।</t>
        </is>
      </c>
      <c r="G46" s="45" t="inlineStr">
        <is>
          <t>तपासणीच्या ठिकाणी गुणवत्ता मानके / लिमिट सॅम्पल लावलेले आहेत.</t>
        </is>
      </c>
    </row>
    <row r="47" ht="27.75" customHeight="1">
      <c r="A47" s="2" t="n">
        <v>34</v>
      </c>
      <c r="B47" s="3" t="inlineStr">
        <is>
          <t>Colour codes for bins, tags, pipelines and floor marking are standardized.</t>
        </is>
      </c>
      <c r="C47" s="11" t="n"/>
      <c r="D47" s="2">
        <f>IF(C47="Yes",2,0)</f>
        <v/>
      </c>
      <c r="E47" s="12" t="n"/>
      <c r="F47" s="45" t="inlineStr">
        <is>
          <t>बिन, टैग, पाइपलाइन और फ़्लोर मार्किंग के कलर-कोड एक समान (मानकीकृत) हैं।</t>
        </is>
      </c>
      <c r="G47" s="45" t="inlineStr">
        <is>
          <t>बिन, टॅग, पाइपलाइन आणि फ्लोअर मार्किंगचे कलर-कोड एकसारखे (प्रमाणित) आहेत.</t>
        </is>
      </c>
    </row>
    <row r="48" ht="27.75" customHeight="1">
      <c r="A48" s="2" t="n">
        <v>35</v>
      </c>
      <c r="B48" s="3" t="inlineStr">
        <is>
          <t>Standard WIP quantities and line-side stock norms are visually defined.</t>
        </is>
      </c>
      <c r="C48" s="11" t="n"/>
      <c r="D48" s="2">
        <f>IF(C48="Yes",2,0)</f>
        <v/>
      </c>
      <c r="E48" s="12" t="n"/>
      <c r="F48" s="45" t="inlineStr">
        <is>
          <t>मानक WIP मात्रा और लाइन के पास स्टॉक के मानक दृश्य रूप से तय किए गए हैं।</t>
        </is>
      </c>
      <c r="G48" s="45" t="inlineStr">
        <is>
          <t>मानक WIP संख्या आणि लाईनजवळील साठ्याचे निकष दृश्य स्वरूपात ठरवलेले आहेत.</t>
        </is>
      </c>
    </row>
    <row r="49" ht="27.75" customHeight="1">
      <c r="A49" s="2" t="n">
        <v>36</v>
      </c>
      <c r="B49" s="3" t="inlineStr">
        <is>
          <t>Abnormality tagging and escalation standard is defined and followed.</t>
        </is>
      </c>
      <c r="C49" s="11" t="n"/>
      <c r="D49" s="2">
        <f>IF(C49="Yes",2,0)</f>
        <v/>
      </c>
      <c r="E49" s="12" t="n"/>
      <c r="F49" s="45" t="inlineStr">
        <is>
          <t>असामान्यता पर टैग लगाने और ऊपर तक सूचना पहुँचाने (एस्केलेशन) का मानक तय है और पालन होता है।</t>
        </is>
      </c>
      <c r="G49" s="45" t="inlineStr">
        <is>
          <t>असामान्य गोष्टींवर टॅग लावणे आणि वरिष्ठांपर्यंत कळवणे (एस्कलेशन) याचे मानक ठरलेले आहे आणि पाळले जाते.</t>
        </is>
      </c>
    </row>
    <row r="50" ht="27.75" customHeight="1">
      <c r="A50" s="2" t="n">
        <v>37</v>
      </c>
      <c r="B50" s="3" t="inlineStr">
        <is>
          <t>Safety standards – LOTO, PPE matrix, machine safety signage – are displayed.</t>
        </is>
      </c>
      <c r="C50" s="11" t="n"/>
      <c r="D50" s="2">
        <f>IF(C50="Yes",2,0)</f>
        <v/>
      </c>
      <c r="E50" s="12" t="n"/>
      <c r="F50" s="45" t="inlineStr">
        <is>
          <t>सुरक्षा मानक – LOTO, PPE मैट्रिक्स, मशीन सुरक्षा साइनबोर्ड – लगे हैं।</t>
        </is>
      </c>
      <c r="G50" s="45" t="inlineStr">
        <is>
          <t>सुरक्षा मानके – LOTO, PPE मॅट्रिक्स, मशीन सुरक्षा फलक – लावलेली आहेत.</t>
        </is>
      </c>
    </row>
    <row r="51" ht="27.75" customHeight="1">
      <c r="A51" s="2" t="n">
        <v>38</v>
      </c>
      <c r="B51" s="3" t="inlineStr">
        <is>
          <t>Daily 5S / start-up checklists are filled at every shift.</t>
        </is>
      </c>
      <c r="C51" s="11" t="n"/>
      <c r="D51" s="2">
        <f>IF(C51="Yes",2,0)</f>
        <v/>
      </c>
      <c r="E51" s="12" t="n"/>
      <c r="F51" s="45" t="inlineStr">
        <is>
          <t>हर शिफ़्ट में दैनिक 5S / स्टार्ट-अप चेकलिस्ट भरी जाती हैं।</t>
        </is>
      </c>
      <c r="G51" s="45" t="inlineStr">
        <is>
          <t>प्रत्येक शिफ्टमध्ये दैनंदिन 5S / स्टार्ट-अप चेकलिस्ट भरल्या जातात.</t>
        </is>
      </c>
    </row>
    <row r="52" ht="27.75" customHeight="1">
      <c r="A52" s="2" t="n">
        <v>39</v>
      </c>
      <c r="B52" s="3" t="inlineStr">
        <is>
          <t>Skill matrix of operators is displayed and updated.</t>
        </is>
      </c>
      <c r="C52" s="11" t="n"/>
      <c r="D52" s="2">
        <f>IF(C52="Yes",2,0)</f>
        <v/>
      </c>
      <c r="E52" s="12" t="n"/>
      <c r="F52" s="45" t="inlineStr">
        <is>
          <t>ऑपरेटरों का स्किल मैट्रिक्स लगा है और अपडेट रहता है।</t>
        </is>
      </c>
      <c r="G52" s="45" t="inlineStr">
        <is>
          <t>ऑपरेटरचे स्किल मॅट्रिक्स लावलेले आहे आणि अद्ययावत ठेवले जाते.</t>
        </is>
      </c>
    </row>
    <row r="53" ht="27.75" customHeight="1">
      <c r="A53" s="2" t="n">
        <v>40</v>
      </c>
      <c r="B53" s="3" t="inlineStr">
        <is>
          <t>5S board with zone map, scores and improvements is maintained at the line.</t>
        </is>
      </c>
      <c r="C53" s="11" t="n"/>
      <c r="D53" s="2">
        <f>IF(C53="Yes",2,0)</f>
        <v/>
      </c>
      <c r="E53" s="12" t="n"/>
      <c r="F53" s="45" t="inlineStr">
        <is>
          <t>लाइन पर ज़ोन मैप, स्कोर और सुधारों वाला 5S बोर्ड बनाए रखा गया है।</t>
        </is>
      </c>
      <c r="G53" s="45" t="inlineStr">
        <is>
          <t>लाईनवर झोन मॅप, स्कोअर आणि सुधारणांसह 5S फलक अद्ययावत ठेवला आहे.</t>
        </is>
      </c>
    </row>
    <row r="54">
      <c r="A54" s="38" t="inlineStr">
        <is>
          <t>Sub-total 4S (out of 20)</t>
        </is>
      </c>
      <c r="B54" s="44" t="n"/>
      <c r="C54" s="43" t="n"/>
      <c r="D54" s="15">
        <f>SUM(D44:D53)</f>
        <v/>
      </c>
      <c r="E54" s="16" t="n"/>
      <c r="F54" s="16" t="n"/>
      <c r="G54" s="16" t="n"/>
    </row>
    <row r="55">
      <c r="A55" s="37" t="inlineStr">
        <is>
          <t>5S – SHITSUKE (SUSTAIN)</t>
        </is>
      </c>
      <c r="B55" s="44" t="n"/>
      <c r="C55" s="44" t="n"/>
      <c r="D55" s="44" t="n"/>
      <c r="E55" s="43" t="n"/>
      <c r="F55" s="43" t="n"/>
      <c r="G55" s="43" t="n"/>
    </row>
    <row r="56" ht="27.75" customHeight="1">
      <c r="A56" s="2" t="n">
        <v>41</v>
      </c>
      <c r="B56" s="3" t="inlineStr">
        <is>
          <t>Operators perform daily autonomous cleaning and inspection without fail.</t>
        </is>
      </c>
      <c r="C56" s="11" t="n"/>
      <c r="D56" s="2">
        <f>IF(C56="Yes",2,0)</f>
        <v/>
      </c>
      <c r="E56" s="12" t="n"/>
      <c r="F56" s="45" t="inlineStr">
        <is>
          <t>ऑपरेटर हर दिन बिना चूके स्वयं सफ़ाई और निरीक्षण करते हैं।</t>
        </is>
      </c>
      <c r="G56" s="45" t="inlineStr">
        <is>
          <t>ऑपरेटर दररोज न चुकता स्वतः स्वच्छता आणि तपासणी करतात.</t>
        </is>
      </c>
    </row>
    <row r="57" ht="27.75" customHeight="1">
      <c r="A57" s="2" t="n">
        <v>42</v>
      </c>
      <c r="B57" s="3" t="inlineStr">
        <is>
          <t>Shift handover includes 5S condition of the line.</t>
        </is>
      </c>
      <c r="C57" s="11" t="n"/>
      <c r="D57" s="2">
        <f>IF(C57="Yes",2,0)</f>
        <v/>
      </c>
      <c r="E57" s="12" t="n"/>
      <c r="F57" s="45" t="inlineStr">
        <is>
          <t>शिफ़्ट हैंडओवर में लाइन की 5S स्थिति भी शामिल होती है।</t>
        </is>
      </c>
      <c r="G57" s="45" t="inlineStr">
        <is>
          <t>शिफ्ट हँडओव्हरमध्ये लाईनच्या 5S स्थितीचाही समावेश असतो.</t>
        </is>
      </c>
    </row>
    <row r="58" ht="27.75" customHeight="1">
      <c r="A58" s="2" t="n">
        <v>43</v>
      </c>
      <c r="B58" s="3" t="inlineStr">
        <is>
          <t>5S audits are done as per schedule; scores recorded.</t>
        </is>
      </c>
      <c r="C58" s="11" t="n"/>
      <c r="D58" s="2">
        <f>IF(C58="Yes",2,0)</f>
        <v/>
      </c>
      <c r="E58" s="12" t="n"/>
      <c r="F58" s="45" t="inlineStr">
        <is>
          <t>5S ऑडिट शेड्यूल के अनुसार होते हैं; स्कोर दर्ज किए जाते हैं।</t>
        </is>
      </c>
      <c r="G58" s="45" t="inlineStr">
        <is>
          <t>5S ऑडिट वेळापत्रकानुसार होतात; स्कोअर नोंदवले जातात.</t>
        </is>
      </c>
    </row>
    <row r="59" ht="27.75" customHeight="1">
      <c r="A59" s="2" t="n">
        <v>44</v>
      </c>
      <c r="B59" s="3" t="inlineStr">
        <is>
          <t>Actions on previous audit findings are closed on time.</t>
        </is>
      </c>
      <c r="C59" s="11" t="n"/>
      <c r="D59" s="2">
        <f>IF(C59="Yes",2,0)</f>
        <v/>
      </c>
      <c r="E59" s="12" t="n"/>
      <c r="F59" s="45" t="inlineStr">
        <is>
          <t>पिछले ऑडिट में मिली कमियों पर कार्रवाई समय पर पूरी की जाती है।</t>
        </is>
      </c>
      <c r="G59" s="45" t="inlineStr">
        <is>
          <t>मागील ऑडिटमध्ये आढळलेल्या त्रुटींवरील कार्यवाही वेळेत पूर्ण केली जाते.</t>
        </is>
      </c>
    </row>
    <row r="60" ht="27.75" customHeight="1">
      <c r="A60" s="2" t="n">
        <v>45</v>
      </c>
      <c r="B60" s="3" t="inlineStr">
        <is>
          <t>Operators follow SOPs and quality discipline consistently.</t>
        </is>
      </c>
      <c r="C60" s="11" t="n"/>
      <c r="D60" s="2">
        <f>IF(C60="Yes",2,0)</f>
        <v/>
      </c>
      <c r="E60" s="12" t="n"/>
      <c r="F60" s="45" t="inlineStr">
        <is>
          <t>ऑपरेटर लगातार SOP और गुणवत्ता अनुशासन का पालन करते हैं।</t>
        </is>
      </c>
      <c r="G60" s="45" t="inlineStr">
        <is>
          <t>ऑपरेटर सातत्याने SOP आणि गुणवत्तेची शिस्त पाळतात.</t>
        </is>
      </c>
    </row>
    <row r="61" ht="27.75" customHeight="1">
      <c r="A61" s="2" t="n">
        <v>46</v>
      </c>
      <c r="B61" s="3" t="inlineStr">
        <is>
          <t>Abnormality tags raised are resolved within the target time.</t>
        </is>
      </c>
      <c r="C61" s="11" t="n"/>
      <c r="D61" s="2">
        <f>IF(C61="Yes",2,0)</f>
        <v/>
      </c>
      <c r="E61" s="12" t="n"/>
      <c r="F61" s="45" t="inlineStr">
        <is>
          <t>लगाए गए असामान्यता टैग लक्ष्य समय के भीतर निपटाए जाते हैं।</t>
        </is>
      </c>
      <c r="G61" s="45" t="inlineStr">
        <is>
          <t>लावलेले असामान्यता टॅग लक्ष्य वेळेत सोडवले जातात.</t>
        </is>
      </c>
    </row>
    <row r="62" ht="27.75" customHeight="1">
      <c r="A62" s="2" t="n">
        <v>47</v>
      </c>
      <c r="B62" s="3" t="inlineStr">
        <is>
          <t>Kaizens / suggestions from operators are generated and implemented.</t>
        </is>
      </c>
      <c r="C62" s="11" t="n"/>
      <c r="D62" s="2">
        <f>IF(C62="Yes",2,0)</f>
        <v/>
      </c>
      <c r="E62" s="12" t="n"/>
      <c r="F62" s="45" t="inlineStr">
        <is>
          <t>ऑपरेटरों से काइज़ेन / सुझाव आते हैं और लागू किए जाते हैं।</t>
        </is>
      </c>
      <c r="G62" s="45" t="inlineStr">
        <is>
          <t>ऑपरेटरकडून कायझेन / सूचना येतात आणि अंमलात आणल्या जातात.</t>
        </is>
      </c>
    </row>
    <row r="63" ht="27.75" customHeight="1">
      <c r="A63" s="2" t="n">
        <v>48</v>
      </c>
      <c r="B63" s="3" t="inlineStr">
        <is>
          <t>Supervisors / managers conduct regular Gemba walks in the area.</t>
        </is>
      </c>
      <c r="C63" s="11" t="n"/>
      <c r="D63" s="2">
        <f>IF(C63="Yes",2,0)</f>
        <v/>
      </c>
      <c r="E63" s="12" t="n"/>
      <c r="F63" s="45" t="inlineStr">
        <is>
          <t>सुपरवाइज़र / मैनेजर इस क्षेत्र में नियमित रूप से गेम्बा वॉक करते हैं।</t>
        </is>
      </c>
      <c r="G63" s="45" t="inlineStr">
        <is>
          <t>सुपरवायझर / मॅनेजर या क्षेत्रात नियमितपणे गेम्बा वॉक करतात.</t>
        </is>
      </c>
    </row>
    <row r="64" ht="27.75" customHeight="1">
      <c r="A64" s="2" t="n">
        <v>49</v>
      </c>
      <c r="B64" s="3" t="inlineStr">
        <is>
          <t>5S is maintained during high production pressure (surprise check).</t>
        </is>
      </c>
      <c r="C64" s="11" t="n"/>
      <c r="D64" s="2">
        <f>IF(C64="Yes",2,0)</f>
        <v/>
      </c>
      <c r="E64" s="12" t="n"/>
      <c r="F64" s="45" t="inlineStr">
        <is>
          <t>उत्पादन का ज़्यादा दबाव होने पर भी 5S बना रहता है (अचानक जाँच)।</t>
        </is>
      </c>
      <c r="G64" s="45" t="inlineStr">
        <is>
          <t>उत्पादनाचा जास्त ताण असतानाही 5S टिकून राहते (अचानक तपासणी).</t>
        </is>
      </c>
    </row>
    <row r="65" ht="27.75" customHeight="1">
      <c r="A65" s="2" t="n">
        <v>50</v>
      </c>
      <c r="B65" s="3" t="inlineStr">
        <is>
          <t>Line 5S score trend is stable or improving over the last 3 audits.</t>
        </is>
      </c>
      <c r="C65" s="11" t="n"/>
      <c r="D65" s="2">
        <f>IF(C65="Yes",2,0)</f>
        <v/>
      </c>
      <c r="E65" s="12" t="n"/>
      <c r="F65" s="45" t="inlineStr">
        <is>
          <t>पिछले 3 ऑडिट में लाइन का 5S स्कोर स्थिर है या बेहतर हो रहा है।</t>
        </is>
      </c>
      <c r="G65" s="45" t="inlineStr">
        <is>
          <t>मागील 3 ऑडिटमध्ये लाईनचा 5S स्कोअर स्थिर आहे किंवा सुधारत आहे.</t>
        </is>
      </c>
    </row>
    <row r="66">
      <c r="A66" s="38" t="inlineStr">
        <is>
          <t>Sub-total 5S (out of 20)</t>
        </is>
      </c>
      <c r="B66" s="44" t="n"/>
      <c r="C66" s="43" t="n"/>
      <c r="D66" s="15">
        <f>SUM(D56:D65)</f>
        <v/>
      </c>
      <c r="E66" s="16" t="n"/>
      <c r="F66" s="16" t="n"/>
      <c r="G66" s="16" t="n"/>
    </row>
    <row r="67">
      <c r="A67" s="39" t="inlineStr">
        <is>
          <t>TOTAL SCORE (out of 100)</t>
        </is>
      </c>
      <c r="B67" s="44" t="n"/>
      <c r="C67" s="43" t="n"/>
      <c r="D67" s="17">
        <f>D18+D30+D42+D54+D66</f>
        <v/>
      </c>
      <c r="E67" s="10" t="n"/>
      <c r="F67" s="10" t="n"/>
      <c r="G67" s="10" t="n"/>
    </row>
    <row r="68">
      <c r="A68" s="40" t="inlineStr">
        <is>
          <t>PERCENTAGE</t>
        </is>
      </c>
      <c r="B68" s="44" t="n"/>
      <c r="C68" s="43" t="n"/>
      <c r="D68" s="18">
        <f>D67/100</f>
        <v/>
      </c>
      <c r="E68" s="19" t="n"/>
      <c r="F68" s="19" t="n"/>
      <c r="G68" s="19" t="n"/>
    </row>
    <row r="69">
      <c r="A69" s="40" t="inlineStr">
        <is>
          <t>RATING</t>
        </is>
      </c>
      <c r="B69" s="44" t="n"/>
      <c r="C69" s="43" t="n"/>
      <c r="D69" s="21">
        <f>IF(D68&gt;=0.9,"Outstanding",IF(D68&gt;=0.75,"On Track",IF(D68&gt;=0.6,"Improving","Needs Support")))</f>
        <v/>
      </c>
      <c r="E69" s="19" t="n"/>
      <c r="F69" s="19" t="n"/>
      <c r="G69" s="19" t="n"/>
    </row>
    <row r="70"/>
    <row r="71">
      <c r="A71" s="36" t="inlineStr">
        <is>
          <t>Rating scale:  ≥ 90% Outstanding  |  75–89% On Track  |  60–74% Improving  |  &lt; 60% Needs Support.  Points scored 'No' must be entered in the corrective action tracker.</t>
        </is>
      </c>
    </row>
    <row r="72"/>
    <row r="73">
      <c r="B73" s="20" t="inlineStr">
        <is>
          <t>Auditor Signature: ______________________</t>
        </is>
      </c>
      <c r="E73" s="20" t="inlineStr">
        <is>
          <t>Area Owner Signature: ______________________</t>
        </is>
      </c>
      <c r="F73" s="20" t="n"/>
      <c r="G73" s="20" t="n"/>
    </row>
    <row r="74">
      <c r="A74" s="22" t="inlineStr">
        <is>
          <t>Prepared by AB Associates, Nashik.</t>
        </is>
      </c>
    </row>
  </sheetData>
  <mergeCells count="16">
    <mergeCell ref="A42:C42"/>
    <mergeCell ref="A55:E55"/>
    <mergeCell ref="A68:C68"/>
    <mergeCell ref="A66:C66"/>
    <mergeCell ref="A43:E43"/>
    <mergeCell ref="A7:E7"/>
    <mergeCell ref="A19:E19"/>
    <mergeCell ref="A71:E71"/>
    <mergeCell ref="A18:C18"/>
    <mergeCell ref="A67:C67"/>
    <mergeCell ref="A1:E1"/>
    <mergeCell ref="A30:C30"/>
    <mergeCell ref="A69:C69"/>
    <mergeCell ref="A31:E31"/>
    <mergeCell ref="A54:C54"/>
    <mergeCell ref="E2:E4"/>
  </mergeCells>
  <dataValidations count="1">
    <dataValidation sqref="C8:C17 C20:C29 C32:C41 C44:C53 C56:C65" showDropDown="0" showInputMessage="0" showErrorMessage="1" allowBlank="1" errorTitle="Invalid entry" error="Please select Yes or No" type="list">
      <formula1>"Yes,No"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topLeftCell="A64" zoomScaleNormal="100" workbookViewId="0">
      <selection activeCell="A74" sqref="A74"/>
    </sheetView>
  </sheetViews>
  <sheetFormatPr baseColWidth="8" defaultColWidth="8.5703125" defaultRowHeight="15"/>
  <cols>
    <col width="6" customWidth="1" min="1" max="1"/>
    <col width="68" customWidth="1" min="2" max="2"/>
    <col width="12" customWidth="1" min="3" max="3"/>
    <col width="9" customWidth="1" min="4" max="4"/>
    <col width="32" customWidth="1" min="5" max="5"/>
    <col width="60" customWidth="1" min="6" max="6"/>
    <col width="60" customWidth="1" min="7" max="7"/>
  </cols>
  <sheetData>
    <row r="1" ht="25.5" customHeight="1">
      <c r="A1" s="29" t="inlineStr">
        <is>
          <t>5S AUDIT CHECK SHEET – FG STORES</t>
        </is>
      </c>
    </row>
    <row r="2" ht="15" customHeight="1">
      <c r="A2" s="14" t="inlineStr">
        <is>
          <t>Company:</t>
        </is>
      </c>
      <c r="B2" s="13" t="n"/>
      <c r="C2" s="14" t="inlineStr">
        <is>
          <t>Audit Date:</t>
        </is>
      </c>
      <c r="D2" s="13" t="n"/>
      <c r="E2" s="41" t="inlineStr">
        <is>
          <t>Scoring: Yes = 2 marks, No = 0 marks.
Max score = 100.</t>
        </is>
      </c>
    </row>
    <row r="3">
      <c r="A3" s="14" t="inlineStr">
        <is>
          <t>Area / Dept.:</t>
        </is>
      </c>
      <c r="B3" s="13" t="inlineStr">
        <is>
          <t>FG Stores</t>
        </is>
      </c>
      <c r="C3" s="14" t="inlineStr">
        <is>
          <t>Auditor Name:</t>
        </is>
      </c>
      <c r="D3" s="13" t="n"/>
    </row>
    <row r="4">
      <c r="A4" s="14" t="inlineStr">
        <is>
          <t>Shift:</t>
        </is>
      </c>
      <c r="B4" s="13" t="n"/>
      <c r="C4" s="14" t="inlineStr">
        <is>
          <t>Auditee / Area Owner:</t>
        </is>
      </c>
      <c r="D4" s="13" t="n"/>
    </row>
    <row r="5"/>
    <row r="6" ht="19.5" customHeight="1">
      <c r="A6" s="1" t="inlineStr">
        <is>
          <t>Sr.</t>
        </is>
      </c>
      <c r="B6" s="1" t="inlineStr">
        <is>
          <t>Check Point</t>
        </is>
      </c>
      <c r="C6" s="1" t="inlineStr">
        <is>
          <t>Yes / No</t>
        </is>
      </c>
      <c r="D6" s="1" t="inlineStr">
        <is>
          <t>Marks</t>
        </is>
      </c>
      <c r="E6" s="1" t="inlineStr">
        <is>
          <t>Remarks / Observations</t>
        </is>
      </c>
      <c r="F6" s="1" t="inlineStr">
        <is>
          <t>Check Point (Hindi)</t>
        </is>
      </c>
      <c r="G6" s="1" t="inlineStr">
        <is>
          <t>Check Point (Marathi)</t>
        </is>
      </c>
    </row>
    <row r="7">
      <c r="A7" s="37" t="inlineStr">
        <is>
          <t>1S – SEIRI (SORT)</t>
        </is>
      </c>
      <c r="B7" s="44" t="n"/>
      <c r="C7" s="44" t="n"/>
      <c r="D7" s="44" t="n"/>
      <c r="E7" s="43" t="n"/>
      <c r="F7" s="43" t="n"/>
      <c r="G7" s="43" t="n"/>
    </row>
    <row r="8" ht="27.75" customHeight="1">
      <c r="A8" s="2" t="n">
        <v>1</v>
      </c>
      <c r="B8" s="3" t="inlineStr">
        <is>
          <t>Only saleable finished goods are stored; no rejected / obsolete FG mixed in.</t>
        </is>
      </c>
      <c r="C8" s="11" t="n"/>
      <c r="D8" s="2">
        <f>IF(C8="Yes",2,0)</f>
        <v/>
      </c>
      <c r="E8" s="12" t="n"/>
      <c r="F8" s="45" t="inlineStr">
        <is>
          <t>केवल बेचने योग्य तैयार माल ही रखा है; रिजेक्ट / पुराना तैयार माल उसमें मिला हुआ नहीं है।</t>
        </is>
      </c>
      <c r="G8" s="45" t="inlineStr">
        <is>
          <t>फक्त विक्रीयोग्य तयार माल ठेवलेला आहे; रिजेक्ट / कालबाह्य तयार माल त्यात मिसळलेला नाही.</t>
        </is>
      </c>
    </row>
    <row r="9" ht="27.75" customHeight="1">
      <c r="A9" s="2" t="n">
        <v>2</v>
      </c>
      <c r="B9" s="3" t="inlineStr">
        <is>
          <t>Damaged / customer-returned goods are segregated in a marked area.</t>
        </is>
      </c>
      <c r="C9" s="11" t="n"/>
      <c r="D9" s="2">
        <f>IF(C9="Yes",2,0)</f>
        <v/>
      </c>
      <c r="E9" s="12" t="n"/>
      <c r="F9" s="45" t="inlineStr">
        <is>
          <t>ख़राब / ग्राहक से लौटा माल एक चिह्नित क्षेत्र में अलग रखा गया है।</t>
        </is>
      </c>
      <c r="G9" s="45" t="inlineStr">
        <is>
          <t>खराब / ग्राहकाकडून परत आलेला माल आखलेल्या क्षेत्रात वेगळा ठेवलेला आहे.</t>
        </is>
      </c>
    </row>
    <row r="10" ht="27.75" customHeight="1">
      <c r="A10" s="2" t="n">
        <v>3</v>
      </c>
      <c r="B10" s="3" t="inlineStr">
        <is>
          <t>Non-moving / aged FG stock is identified with an action plan.</t>
        </is>
      </c>
      <c r="C10" s="11" t="n"/>
      <c r="D10" s="2">
        <f>IF(C10="Yes",2,0)</f>
        <v/>
      </c>
      <c r="E10" s="12" t="n"/>
      <c r="F10" s="45" t="inlineStr">
        <is>
          <t>न चलने वाला / पुराना पड़ा तैयार माल पहचाना गया है और उस पर कार्य-योजना है।</t>
        </is>
      </c>
      <c r="G10" s="45" t="inlineStr">
        <is>
          <t>न हलणारा / जुना झालेला तयार माल ओळखलेला आहे आणि त्यावर कृती आराखडा आहे.</t>
        </is>
      </c>
    </row>
    <row r="11" ht="27.75" customHeight="1">
      <c r="A11" s="2" t="n">
        <v>4</v>
      </c>
      <c r="B11" s="3" t="inlineStr">
        <is>
          <t>Empty pallets, broken cartons and strapping waste are not lying in the area.</t>
        </is>
      </c>
      <c r="C11" s="11" t="n"/>
      <c r="D11" s="2">
        <f>IF(C11="Yes",2,0)</f>
        <v/>
      </c>
      <c r="E11" s="12" t="n"/>
      <c r="F11" s="45" t="inlineStr">
        <is>
          <t>क्षेत्र में खाली पैलेट, फटे कार्टन और स्ट्रैपिंग का कचरा नहीं पड़ा है।</t>
        </is>
      </c>
      <c r="G11" s="45" t="inlineStr">
        <is>
          <t>क्षेत्रात रिकामे पॅलेट, फाटलेले कार्टन आणि स्ट्रॅपिंगचा कचरा पडलेला नाही.</t>
        </is>
      </c>
    </row>
    <row r="12" ht="27.75" customHeight="1">
      <c r="A12" s="2" t="n">
        <v>5</v>
      </c>
      <c r="B12" s="3" t="inlineStr">
        <is>
          <t>Dispatch-pending and hold materials are clearly separated.</t>
        </is>
      </c>
      <c r="C12" s="11" t="n"/>
      <c r="D12" s="2">
        <f>IF(C12="Yes",2,0)</f>
        <v/>
      </c>
      <c r="E12" s="12" t="n"/>
      <c r="F12" s="45" t="inlineStr">
        <is>
          <t>डिस्पैच के लिए बाक़ी माल और होल्ड पर रखा माल साफ़ तौर पर अलग-अलग रखे हैं।</t>
        </is>
      </c>
      <c r="G12" s="45" t="inlineStr">
        <is>
          <t>डिस्पॅचसाठी बाकी असलेला माल आणि होल्डवरील माल स्पष्टपणे वेगवेगळा ठेवलेला आहे.</t>
        </is>
      </c>
    </row>
    <row r="13" ht="27.75" customHeight="1">
      <c r="A13" s="2" t="n">
        <v>6</v>
      </c>
      <c r="B13" s="3" t="inlineStr">
        <is>
          <t>Obsolete labels, stickers and documents are removed from the area.</t>
        </is>
      </c>
      <c r="C13" s="11" t="n"/>
      <c r="D13" s="2">
        <f>IF(C13="Yes",2,0)</f>
        <v/>
      </c>
      <c r="E13" s="12" t="n"/>
      <c r="F13" s="45" t="inlineStr">
        <is>
          <t>पुराने लेबल, स्टिकर और दस्तावेज़ क्षेत्र से हटा दिए गए हैं।</t>
        </is>
      </c>
      <c r="G13" s="45" t="inlineStr">
        <is>
          <t>जुने लेबल, स्टिकर आणि कागदपत्रे क्षेत्रातून काढून टाकली आहेत.</t>
        </is>
      </c>
    </row>
    <row r="14" ht="27.75" customHeight="1">
      <c r="A14" s="2" t="n">
        <v>7</v>
      </c>
      <c r="B14" s="3" t="inlineStr">
        <is>
          <t>Excess packing material is not stored inside FG stores.</t>
        </is>
      </c>
      <c r="C14" s="11" t="n"/>
      <c r="D14" s="2">
        <f>IF(C14="Yes",2,0)</f>
        <v/>
      </c>
      <c r="E14" s="12" t="n"/>
      <c r="F14" s="45" t="inlineStr">
        <is>
          <t>FG स्टोर के अंदर ज़रूरत से ज़्यादा पैकिंग सामग्री नहीं रखी जाती।</t>
        </is>
      </c>
      <c r="G14" s="45" t="inlineStr">
        <is>
          <t>FG स्टोअरमध्ये गरजेपेक्षा जास्त पॅकिंग साहित्य ठेवले जात नाही.</t>
        </is>
      </c>
    </row>
    <row r="15" ht="27.75" customHeight="1">
      <c r="A15" s="2" t="n">
        <v>8</v>
      </c>
      <c r="B15" s="3" t="inlineStr">
        <is>
          <t>Damaged racks / pallets are removed or repaired promptly.</t>
        </is>
      </c>
      <c r="C15" s="11" t="n"/>
      <c r="D15" s="2">
        <f>IF(C15="Yes",2,0)</f>
        <v/>
      </c>
      <c r="E15" s="12" t="n"/>
      <c r="F15" s="45" t="inlineStr">
        <is>
          <t>टूटे रैक / पैलेट तुरंत हटा दिए जाते हैं या ठीक कराए जाते हैं।</t>
        </is>
      </c>
      <c r="G15" s="45" t="inlineStr">
        <is>
          <t>तुटलेले रॅक / पॅलेट लगेच काढले जातात किंवा दुरुस्त केले जातात.</t>
        </is>
      </c>
    </row>
    <row r="16" ht="27.75" customHeight="1">
      <c r="A16" s="2" t="n">
        <v>9</v>
      </c>
      <c r="B16" s="3" t="inlineStr">
        <is>
          <t>A red-tag area exists and is cleared within the defined time.</t>
        </is>
      </c>
      <c r="C16" s="11" t="n"/>
      <c r="D16" s="2">
        <f>IF(C16="Yes",2,0)</f>
        <v/>
      </c>
      <c r="E16" s="12" t="n"/>
      <c r="F16" s="45" t="inlineStr">
        <is>
          <t>रेड-टैग क्षेत्र मौजूद है और तय समय के भीतर खाली किया जाता है।</t>
        </is>
      </c>
      <c r="G16" s="45" t="inlineStr">
        <is>
          <t>रेड-टॅग क्षेत्र आहे आणि ठरलेल्या वेळेत रिकामे केले जाते.</t>
        </is>
      </c>
    </row>
    <row r="17" ht="27.75" customHeight="1">
      <c r="A17" s="2" t="n">
        <v>10</v>
      </c>
      <c r="B17" s="3" t="inlineStr">
        <is>
          <t>No personal or non-FG items inside the FG store.</t>
        </is>
      </c>
      <c r="C17" s="11" t="n"/>
      <c r="D17" s="2">
        <f>IF(C17="Yes",2,0)</f>
        <v/>
      </c>
      <c r="E17" s="12" t="n"/>
      <c r="F17" s="45" t="inlineStr">
        <is>
          <t>FG स्टोर के अंदर कोई निजी सामान या तैयार माल के अलावा दूसरी वस्तु नहीं है।</t>
        </is>
      </c>
      <c r="G17" s="45" t="inlineStr">
        <is>
          <t>FG स्टोअरमध्ये कोणतेही वैयक्तिक सामान किंवा तयार मालाशिवाय इतर वस्तू नाही.</t>
        </is>
      </c>
    </row>
    <row r="18">
      <c r="A18" s="38" t="inlineStr">
        <is>
          <t>Sub-total 1S (out of 20)</t>
        </is>
      </c>
      <c r="B18" s="44" t="n"/>
      <c r="C18" s="43" t="n"/>
      <c r="D18" s="15">
        <f>SUM(D8:D17)</f>
        <v/>
      </c>
      <c r="E18" s="16" t="n"/>
      <c r="F18" s="16" t="n"/>
      <c r="G18" s="16" t="n"/>
    </row>
    <row r="19">
      <c r="A19" s="37" t="inlineStr">
        <is>
          <t>2S – SEITON (SET IN ORDER)</t>
        </is>
      </c>
      <c r="B19" s="44" t="n"/>
      <c r="C19" s="44" t="n"/>
      <c r="D19" s="44" t="n"/>
      <c r="E19" s="43" t="n"/>
      <c r="F19" s="43" t="n"/>
      <c r="G19" s="43" t="n"/>
    </row>
    <row r="20" ht="27.75" customHeight="1">
      <c r="A20" s="2" t="n">
        <v>11</v>
      </c>
      <c r="B20" s="3" t="inlineStr">
        <is>
          <t>Every SKU has a defined storage location with a location master.</t>
        </is>
      </c>
      <c r="C20" s="11" t="n"/>
      <c r="D20" s="2">
        <f>IF(C20="Yes",2,0)</f>
        <v/>
      </c>
      <c r="E20" s="12" t="n"/>
      <c r="F20" s="45" t="inlineStr">
        <is>
          <t>हर SKU की तय भंडारण लोकेशन है और लोकेशन मास्टर उपलब्ध है।</t>
        </is>
      </c>
      <c r="G20" s="45" t="inlineStr">
        <is>
          <t>प्रत्येक SKU चे ठरलेले साठवण लोकेशन आहे आणि लोकेशन मास्टर उपलब्ध आहे.</t>
        </is>
      </c>
    </row>
    <row r="21" ht="27.75" customHeight="1">
      <c r="A21" s="2" t="n">
        <v>12</v>
      </c>
      <c r="B21" s="3" t="inlineStr">
        <is>
          <t>Racks and floor locations are labelled with location codes.</t>
        </is>
      </c>
      <c r="C21" s="11" t="n"/>
      <c r="D21" s="2">
        <f>IF(C21="Yes",2,0)</f>
        <v/>
      </c>
      <c r="E21" s="12" t="n"/>
      <c r="F21" s="45" t="inlineStr">
        <is>
          <t>रैकों और फ़र्श की जगहों पर लोकेशन कोड का लेबल लगा है।</t>
        </is>
      </c>
      <c r="G21" s="45" t="inlineStr">
        <is>
          <t>रॅक आणि जमिनीवरील जागांवर लोकेशन कोडचे लेबल लावलेले आहे.</t>
        </is>
      </c>
    </row>
    <row r="22" ht="27.75" customHeight="1">
      <c r="A22" s="2" t="n">
        <v>13</v>
      </c>
      <c r="B22" s="3" t="inlineStr">
        <is>
          <t>FG pallets / cartons carry identification – product, batch, quantity, date.</t>
        </is>
      </c>
      <c r="C22" s="11" t="n"/>
      <c r="D22" s="2">
        <f>IF(C22="Yes",2,0)</f>
        <v/>
      </c>
      <c r="E22" s="12" t="n"/>
      <c r="F22" s="45" t="inlineStr">
        <is>
          <t>तैयार माल के पैलेट / कार्टन पर पहचान है – उत्पाद, बैच, मात्रा, तारीख़।</t>
        </is>
      </c>
      <c r="G22" s="45" t="inlineStr">
        <is>
          <t>तयार मालाच्या पॅलेट / कार्टनवर ओळख आहे – उत्पादन, बॅच, प्रमाण, तारीख.</t>
        </is>
      </c>
    </row>
    <row r="23" ht="27.75" customHeight="1">
      <c r="A23" s="2" t="n">
        <v>14</v>
      </c>
      <c r="B23" s="3" t="inlineStr">
        <is>
          <t>Storage and dispatch follow FIFO / FEFO with visual control.</t>
        </is>
      </c>
      <c r="C23" s="11" t="n"/>
      <c r="D23" s="2">
        <f>IF(C23="Yes",2,0)</f>
        <v/>
      </c>
      <c r="E23" s="12" t="n"/>
      <c r="F23" s="45" t="inlineStr">
        <is>
          <t>भंडारण और डिस्पैच दृश्य नियंत्रण के साथ FIFO / FEFO के अनुसार होते हैं।</t>
        </is>
      </c>
      <c r="G23" s="45" t="inlineStr">
        <is>
          <t>साठवण आणि डिस्पॅच दृश्य नियंत्रणासह FIFO / FEFO नुसार होतात.</t>
        </is>
      </c>
    </row>
    <row r="24" ht="27.75" customHeight="1">
      <c r="A24" s="2" t="n">
        <v>15</v>
      </c>
      <c r="B24" s="3" t="inlineStr">
        <is>
          <t>Stacking height and pallet loading norms are defined and followed.</t>
        </is>
      </c>
      <c r="C24" s="11" t="n"/>
      <c r="D24" s="2">
        <f>IF(C24="Yes",2,0)</f>
        <v/>
      </c>
      <c r="E24" s="12" t="n"/>
      <c r="F24" s="45" t="inlineStr">
        <is>
          <t>स्टैकिंग की ऊँचाई और पैलेट पर माल लादने के मानक तय हैं और उनका पालन होता है।</t>
        </is>
      </c>
      <c r="G24" s="45" t="inlineStr">
        <is>
          <t>माल रचण्याची उंची आणि पॅलेटवर माल भरण्याचे निकष ठरलेले आहेत आणि त्यांचे पालन होते.</t>
        </is>
      </c>
    </row>
    <row r="25" ht="27.75" customHeight="1">
      <c r="A25" s="2" t="n">
        <v>16</v>
      </c>
      <c r="B25" s="3" t="inlineStr">
        <is>
          <t>Dispatch staging area is marked customer-wise / vehicle-wise.</t>
        </is>
      </c>
      <c r="C25" s="11" t="n"/>
      <c r="D25" s="2">
        <f>IF(C25="Yes",2,0)</f>
        <v/>
      </c>
      <c r="E25" s="12" t="n"/>
      <c r="F25" s="45" t="inlineStr">
        <is>
          <t>डिस्पैच स्टेजिंग क्षेत्र ग्राहक-वार / गाड़ी-वार चिह्नित है।</t>
        </is>
      </c>
      <c r="G25" s="45" t="inlineStr">
        <is>
          <t>डिस्पॅच स्टेजिंग क्षेत्र ग्राहकनिहाय / वाहननिहाय आखलेले आहे.</t>
        </is>
      </c>
    </row>
    <row r="26" ht="27.75" customHeight="1">
      <c r="A26" s="2" t="n">
        <v>17</v>
      </c>
      <c r="B26" s="3" t="inlineStr">
        <is>
          <t>Material handling equipment has designated parking and charging areas.</t>
        </is>
      </c>
      <c r="C26" s="11" t="n"/>
      <c r="D26" s="2">
        <f>IF(C26="Yes",2,0)</f>
        <v/>
      </c>
      <c r="E26" s="12" t="n"/>
      <c r="F26" s="45" t="inlineStr">
        <is>
          <t>माल ढोने के उपकरणों के लिए तय पार्किंग और चार्जिंग क्षेत्र हैं।</t>
        </is>
      </c>
      <c r="G26" s="45" t="inlineStr">
        <is>
          <t>माल हाताळणीच्या उपकरणांसाठी ठरलेली पार्किंग आणि चार्जिंग क्षेत्रे आहेत.</t>
        </is>
      </c>
    </row>
    <row r="27" ht="27.75" customHeight="1">
      <c r="A27" s="2" t="n">
        <v>18</v>
      </c>
      <c r="B27" s="3" t="inlineStr">
        <is>
          <t>Aisle widths are maintained; no blocking of aisles by pallets.</t>
        </is>
      </c>
      <c r="C27" s="11" t="n"/>
      <c r="D27" s="2">
        <f>IF(C27="Yes",2,0)</f>
        <v/>
      </c>
      <c r="E27" s="12" t="n"/>
      <c r="F27" s="45" t="inlineStr">
        <is>
          <t>गलियारों की चौड़ाई बनी रहती है; पैलेट से गलियारे बंद नहीं होते।</t>
        </is>
      </c>
      <c r="G27" s="45" t="inlineStr">
        <is>
          <t>मार्गिकांची रुंदी राखली जाते; पॅलेटमुळे मार्गिका अडत नाहीत.</t>
        </is>
      </c>
    </row>
    <row r="28" ht="27.75" customHeight="1">
      <c r="A28" s="2" t="n">
        <v>19</v>
      </c>
      <c r="B28" s="3" t="inlineStr">
        <is>
          <t>Hold / quarantine area for FG is clearly marked and used.</t>
        </is>
      </c>
      <c r="C28" s="11" t="n"/>
      <c r="D28" s="2">
        <f>IF(C28="Yes",2,0)</f>
        <v/>
      </c>
      <c r="E28" s="12" t="n"/>
      <c r="F28" s="45" t="inlineStr">
        <is>
          <t>तैयार माल के लिए होल्ड / क्वारंटाइन क्षेत्र साफ़ चिह्नित है और उसका उपयोग होता है।</t>
        </is>
      </c>
      <c r="G28" s="45" t="inlineStr">
        <is>
          <t>तयार मालासाठी होल्ड / क्वारंटाईन क्षेत्र स्पष्टपणे आखलेले आहे आणि वापरले जाते.</t>
        </is>
      </c>
    </row>
    <row r="29" ht="27.75" customHeight="1">
      <c r="A29" s="2" t="n">
        <v>20</v>
      </c>
      <c r="B29" s="3" t="inlineStr">
        <is>
          <t>Any SKU can be located and retrieved within 2–3 minutes (retrieval test).</t>
        </is>
      </c>
      <c r="C29" s="11" t="n"/>
      <c r="D29" s="2">
        <f>IF(C29="Yes",2,0)</f>
        <v/>
      </c>
      <c r="E29" s="12" t="n"/>
      <c r="F29" s="45" t="inlineStr">
        <is>
          <t>कोई भी SKU 2–3 मिनट के अंदर ढूँढकर निकाला जा सकता है (ढूँढकर निकालने की जाँच)।</t>
        </is>
      </c>
      <c r="G29" s="45" t="inlineStr">
        <is>
          <t>कोणताही SKU 2–3 मिनिटांच्या आत शोधून काढता येतो (शोधून काढण्याची चाचणी).</t>
        </is>
      </c>
    </row>
    <row r="30">
      <c r="A30" s="38" t="inlineStr">
        <is>
          <t>Sub-total 2S (out of 20)</t>
        </is>
      </c>
      <c r="B30" s="44" t="n"/>
      <c r="C30" s="43" t="n"/>
      <c r="D30" s="15">
        <f>SUM(D20:D29)</f>
        <v/>
      </c>
      <c r="E30" s="16" t="n"/>
      <c r="F30" s="16" t="n"/>
      <c r="G30" s="16" t="n"/>
    </row>
    <row r="31">
      <c r="A31" s="37" t="inlineStr">
        <is>
          <t>3S – SEISO (SHINE)</t>
        </is>
      </c>
      <c r="B31" s="44" t="n"/>
      <c r="C31" s="44" t="n"/>
      <c r="D31" s="44" t="n"/>
      <c r="E31" s="43" t="n"/>
      <c r="F31" s="43" t="n"/>
      <c r="G31" s="43" t="n"/>
    </row>
    <row r="32" ht="27.75" customHeight="1">
      <c r="A32" s="2" t="n">
        <v>21</v>
      </c>
      <c r="B32" s="3" t="inlineStr">
        <is>
          <t>FG store floor is clean, dry and free of dust and spillage.</t>
        </is>
      </c>
      <c r="C32" s="11" t="n"/>
      <c r="D32" s="2">
        <f>IF(C32="Yes",2,0)</f>
        <v/>
      </c>
      <c r="E32" s="12" t="n"/>
      <c r="F32" s="45" t="inlineStr">
        <is>
          <t>FG स्टोर का फ़र्श साफ़, सूखा है और उस पर धूल या कुछ गिरा हुआ नहीं है।</t>
        </is>
      </c>
      <c r="G32" s="45" t="inlineStr">
        <is>
          <t>FG स्टोअरची फरशी स्वच्छ, कोरडी आहे आणि त्यावर धूळ किंवा सांडलेले काही नाही.</t>
        </is>
      </c>
    </row>
    <row r="33" ht="27.75" customHeight="1">
      <c r="A33" s="2" t="n">
        <v>22</v>
      </c>
      <c r="B33" s="3" t="inlineStr">
        <is>
          <t>Stored cartons / pallets are free of dust; top covers used where required.</t>
        </is>
      </c>
      <c r="C33" s="11" t="n"/>
      <c r="D33" s="2">
        <f>IF(C33="Yes",2,0)</f>
        <v/>
      </c>
      <c r="E33" s="12" t="n"/>
      <c r="F33" s="45" t="inlineStr">
        <is>
          <t>रखे हुए कार्टन / पैलेट पर धूल नहीं है; जहाँ ज़रूरी हो वहाँ ऊपर कवर लगाए जाते हैं।</t>
        </is>
      </c>
      <c r="G33" s="45" t="inlineStr">
        <is>
          <t>ठेवलेल्या कार्टन / पॅलेटवर धूळ नाही; आवश्यक तिथे वरून कव्हर लावले जाते.</t>
        </is>
      </c>
    </row>
    <row r="34" ht="27.75" customHeight="1">
      <c r="A34" s="2" t="n">
        <v>23</v>
      </c>
      <c r="B34" s="3" t="inlineStr">
        <is>
          <t>Loading dock and ramp areas are clean and free of debris.</t>
        </is>
      </c>
      <c r="C34" s="11" t="n"/>
      <c r="D34" s="2">
        <f>IF(C34="Yes",2,0)</f>
        <v/>
      </c>
      <c r="E34" s="12" t="n"/>
      <c r="F34" s="45" t="inlineStr">
        <is>
          <t>लोडिंग डॉक और रैम्प क्षेत्र साफ़ हैं और वहाँ मलबा नहीं है।</t>
        </is>
      </c>
      <c r="G34" s="45" t="inlineStr">
        <is>
          <t>लोडिंग डॉक आणि रॅम्प क्षेत्र स्वच्छ आहेत आणि तिथे कचरा-मलबा नाही.</t>
        </is>
      </c>
    </row>
    <row r="35" ht="27.75" customHeight="1">
      <c r="A35" s="2" t="n">
        <v>24</v>
      </c>
      <c r="B35" s="3" t="inlineStr">
        <is>
          <t>Lighting and ventilation are adequate; fixtures are clean.</t>
        </is>
      </c>
      <c r="C35" s="11" t="n"/>
      <c r="D35" s="2">
        <f>IF(C35="Yes",2,0)</f>
        <v/>
      </c>
      <c r="E35" s="12" t="n"/>
      <c r="F35" s="45" t="inlineStr">
        <is>
          <t>रोशनी और हवा की व्यवस्था पर्याप्त है; लाइट फ़िटिंग साफ़ हैं।</t>
        </is>
      </c>
      <c r="G35" s="45" t="inlineStr">
        <is>
          <t>प्रकाश आणि हवा खेळती राहण्याची व्यवस्था पुरेशी आहे; लाईट फिटिंग स्वच्छ आहेत.</t>
        </is>
      </c>
    </row>
    <row r="36" ht="27.75" customHeight="1">
      <c r="A36" s="2" t="n">
        <v>25</v>
      </c>
      <c r="B36" s="3" t="inlineStr">
        <is>
          <t>No signs of rodents, pests or bird entry; pest control schedule followed.</t>
        </is>
      </c>
      <c r="C36" s="11" t="n"/>
      <c r="D36" s="2">
        <f>IF(C36="Yes",2,0)</f>
        <v/>
      </c>
      <c r="E36" s="12" t="n"/>
      <c r="F36" s="45" t="inlineStr">
        <is>
          <t>चूहों, कीड़ों या पक्षियों के अंदर आने के कोई निशान नहीं हैं; पेस्ट कंट्रोल शेड्यूल का पालन होता है।</t>
        </is>
      </c>
      <c r="G36" s="45" t="inlineStr">
        <is>
          <t>उंदीर, कीटक किंवा पक्षी आत येत असल्याच्या खुणा नाहीत; पेस्ट कंट्रोल वेळापत्रकाचे पालन होते.</t>
        </is>
      </c>
    </row>
    <row r="37" ht="27.75" customHeight="1">
      <c r="A37" s="2" t="n">
        <v>26</v>
      </c>
      <c r="B37" s="3" t="inlineStr">
        <is>
          <t>No roof leakage or water seepage that can damage FG.</t>
        </is>
      </c>
      <c r="C37" s="11" t="n"/>
      <c r="D37" s="2">
        <f>IF(C37="Yes",2,0)</f>
        <v/>
      </c>
      <c r="E37" s="12" t="n"/>
      <c r="F37" s="45" t="inlineStr">
        <is>
          <t>छत से टपकाव या पानी की सीलन नहीं है जिससे तैयार माल ख़राब हो सके।</t>
        </is>
      </c>
      <c r="G37" s="45" t="inlineStr">
        <is>
          <t>तयार माल खराब होईल अशी छतातून गळती किंवा पाण्याचा ओलावा नाही.</t>
        </is>
      </c>
    </row>
    <row r="38" ht="27.75" customHeight="1">
      <c r="A38" s="2" t="n">
        <v>27</v>
      </c>
      <c r="B38" s="3" t="inlineStr">
        <is>
          <t>Dustbins are provided and emptied regularly.</t>
        </is>
      </c>
      <c r="C38" s="11" t="n"/>
      <c r="D38" s="2">
        <f>IF(C38="Yes",2,0)</f>
        <v/>
      </c>
      <c r="E38" s="12" t="n"/>
      <c r="F38" s="45" t="inlineStr">
        <is>
          <t>कूड़ेदान उपलब्ध हैं और नियमित रूप से खाली किए जाते हैं।</t>
        </is>
      </c>
      <c r="G38" s="45" t="inlineStr">
        <is>
          <t>कचराकुंड्या उपलब्ध आहेत आणि नियमितपणे रिकाम्या केल्या जातात.</t>
        </is>
      </c>
    </row>
    <row r="39" ht="27.75" customHeight="1">
      <c r="A39" s="2" t="n">
        <v>28</v>
      </c>
      <c r="B39" s="3" t="inlineStr">
        <is>
          <t>Cleaning schedule for FG stores is displayed and followed.</t>
        </is>
      </c>
      <c r="C39" s="11" t="n"/>
      <c r="D39" s="2">
        <f>IF(C39="Yes",2,0)</f>
        <v/>
      </c>
      <c r="E39" s="12" t="n"/>
      <c r="F39" s="45" t="inlineStr">
        <is>
          <t>FG स्टोर का सफ़ाई शेड्यूल लगा है और उसका पालन होता है।</t>
        </is>
      </c>
      <c r="G39" s="45" t="inlineStr">
        <is>
          <t>FG स्टोअरचे स्वच्छता वेळापत्रक लावलेले आहे आणि त्याचे पालन होते.</t>
        </is>
      </c>
    </row>
    <row r="40" ht="27.75" customHeight="1">
      <c r="A40" s="2" t="n">
        <v>29</v>
      </c>
      <c r="B40" s="3" t="inlineStr">
        <is>
          <t>Weighing scale / dispatch equipment is clean and calibrated.</t>
        </is>
      </c>
      <c r="C40" s="11" t="n"/>
      <c r="D40" s="2">
        <f>IF(C40="Yes",2,0)</f>
        <v/>
      </c>
      <c r="E40" s="12" t="n"/>
      <c r="F40" s="45" t="inlineStr">
        <is>
          <t>तौल काँटा / डिस्पैच उपकरण साफ़ और कैलिब्रेटेड हैं।</t>
        </is>
      </c>
      <c r="G40" s="45" t="inlineStr">
        <is>
          <t>वजनकाटा / डिस्पॅच उपकरणे स्वच्छ आणि कॅलिब्रेटेड आहेत.</t>
        </is>
      </c>
    </row>
    <row r="41" ht="27.75" customHeight="1">
      <c r="A41" s="2" t="n">
        <v>30</v>
      </c>
      <c r="B41" s="3" t="inlineStr">
        <is>
          <t>Vehicles are inspected for cleanliness before loading (checklist available).</t>
        </is>
      </c>
      <c r="C41" s="11" t="n"/>
      <c r="D41" s="2">
        <f>IF(C41="Yes",2,0)</f>
        <v/>
      </c>
      <c r="E41" s="12" t="n"/>
      <c r="F41" s="45" t="inlineStr">
        <is>
          <t>माल लादने से पहले गाड़ियों की सफ़ाई की जाँच होती है (चेकलिस्ट उपलब्ध)।</t>
        </is>
      </c>
      <c r="G41" s="45" t="inlineStr">
        <is>
          <t>माल भरण्यापूर्वी वाहनांची स्वच्छता तपासली जाते (चेकलिस्ट उपलब्ध).</t>
        </is>
      </c>
    </row>
    <row r="42">
      <c r="A42" s="38" t="inlineStr">
        <is>
          <t>Sub-total 3S (out of 20)</t>
        </is>
      </c>
      <c r="B42" s="44" t="n"/>
      <c r="C42" s="43" t="n"/>
      <c r="D42" s="15">
        <f>SUM(D32:D41)</f>
        <v/>
      </c>
      <c r="E42" s="16" t="n"/>
      <c r="F42" s="16" t="n"/>
      <c r="G42" s="16" t="n"/>
    </row>
    <row r="43">
      <c r="A43" s="37" t="inlineStr">
        <is>
          <t>4S – SEIKETSU (STANDARDIZE)</t>
        </is>
      </c>
      <c r="B43" s="44" t="n"/>
      <c r="C43" s="44" t="n"/>
      <c r="D43" s="44" t="n"/>
      <c r="E43" s="43" t="n"/>
      <c r="F43" s="43" t="n"/>
      <c r="G43" s="43" t="n"/>
    </row>
    <row r="44" ht="27.75" customHeight="1">
      <c r="A44" s="2" t="n">
        <v>31</v>
      </c>
      <c r="B44" s="3" t="inlineStr">
        <is>
          <t>FG store layout map with locations and ownership is displayed.</t>
        </is>
      </c>
      <c r="C44" s="11" t="n"/>
      <c r="D44" s="2">
        <f>IF(C44="Yes",2,0)</f>
        <v/>
      </c>
      <c r="E44" s="12" t="n"/>
      <c r="F44" s="45" t="inlineStr">
        <is>
          <t>लोकेशन और ज़िम्मेदारी के साथ FG स्टोर का लेआउट मैप लगा है।</t>
        </is>
      </c>
      <c r="G44" s="45" t="inlineStr">
        <is>
          <t>लोकेशन आणि जबाबदारीसह FG स्टोअरचा लेआउट मॅप लावलेला आहे.</t>
        </is>
      </c>
    </row>
    <row r="45" ht="27.75" customHeight="1">
      <c r="A45" s="2" t="n">
        <v>32</v>
      </c>
      <c r="B45" s="3" t="inlineStr">
        <is>
          <t>Standard labelling format for FG identification is defined and followed.</t>
        </is>
      </c>
      <c r="C45" s="11" t="n"/>
      <c r="D45" s="2">
        <f>IF(C45="Yes",2,0)</f>
        <v/>
      </c>
      <c r="E45" s="12" t="n"/>
      <c r="F45" s="45" t="inlineStr">
        <is>
          <t>तैयार माल की पहचान के लिए मानक लेबल फ़ॉर्मेट तय है और उसका पालन होता है।</t>
        </is>
      </c>
      <c r="G45" s="45" t="inlineStr">
        <is>
          <t>तयार मालाच्या ओळखीसाठी प्रमाणित लेबल फॉरमॅट ठरलेला आहे आणि त्याचे पालन होते.</t>
        </is>
      </c>
    </row>
    <row r="46" ht="27.75" customHeight="1">
      <c r="A46" s="2" t="n">
        <v>33</v>
      </c>
      <c r="B46" s="3" t="inlineStr">
        <is>
          <t>Dispatch process standard (pick list, verification, loading) is documented.</t>
        </is>
      </c>
      <c r="C46" s="11" t="n"/>
      <c r="D46" s="2">
        <f>IF(C46="Yes",2,0)</f>
        <v/>
      </c>
      <c r="E46" s="12" t="n"/>
      <c r="F46" s="45" t="inlineStr">
        <is>
          <t>डिस्पैच प्रक्रिया का मानक (पिक लिस्ट, सत्यापन, लोडिंग) लिखित रूप में है।</t>
        </is>
      </c>
      <c r="G46" s="45" t="inlineStr">
        <is>
          <t>डिस्पॅच प्रक्रियेचे मानक (पिक लिस्ट, पडताळणी, लोडिंग) लिखित स्वरूपात आहे.</t>
        </is>
      </c>
    </row>
    <row r="47" ht="27.75" customHeight="1">
      <c r="A47" s="2" t="n">
        <v>34</v>
      </c>
      <c r="B47" s="3" t="inlineStr">
        <is>
          <t>FIFO / FEFO standard is displayed and followed at picking.</t>
        </is>
      </c>
      <c r="C47" s="11" t="n"/>
      <c r="D47" s="2">
        <f>IF(C47="Yes",2,0)</f>
        <v/>
      </c>
      <c r="E47" s="12" t="n"/>
      <c r="F47" s="45" t="inlineStr">
        <is>
          <t>FIFO / FEFO मानक लगा है और माल निकालते (पिकिंग) समय उसका पालन होता है।</t>
        </is>
      </c>
      <c r="G47" s="45" t="inlineStr">
        <is>
          <t>FIFO / FEFO मानक लावलेले आहे आणि माल काढताना (पिकिंग) त्याचे पालन होते.</t>
        </is>
      </c>
    </row>
    <row r="48" ht="27.75" customHeight="1">
      <c r="A48" s="2" t="n">
        <v>35</v>
      </c>
      <c r="B48" s="3" t="inlineStr">
        <is>
          <t>Standard for handling damaged / returned goods is defined.</t>
        </is>
      </c>
      <c r="C48" s="11" t="n"/>
      <c r="D48" s="2">
        <f>IF(C48="Yes",2,0)</f>
        <v/>
      </c>
      <c r="E48" s="12" t="n"/>
      <c r="F48" s="45" t="inlineStr">
        <is>
          <t>ख़राब / लौटे माल को संभालने का मानक तय है।</t>
        </is>
      </c>
      <c r="G48" s="45" t="inlineStr">
        <is>
          <t>खराब / परत आलेला माल हाताळण्याचे मानक ठरलेले आहे.</t>
        </is>
      </c>
    </row>
    <row r="49" ht="27.75" customHeight="1">
      <c r="A49" s="2" t="n">
        <v>36</v>
      </c>
      <c r="B49" s="3" t="inlineStr">
        <is>
          <t>Safety signage (speed limit, forklift, PPE, fire) is displayed.</t>
        </is>
      </c>
      <c r="C49" s="11" t="n"/>
      <c r="D49" s="2">
        <f>IF(C49="Yes",2,0)</f>
        <v/>
      </c>
      <c r="E49" s="12" t="n"/>
      <c r="F49" s="45" t="inlineStr">
        <is>
          <t>सुरक्षा साइनबोर्ड (गति सीमा, फ़ोर्कलिफ़्ट, PPE, आग) लगे हैं।</t>
        </is>
      </c>
      <c r="G49" s="45" t="inlineStr">
        <is>
          <t>सुरक्षा फलक (वेगमर्यादा, फोर्कलिफ्ट, PPE, आग) लावलेले आहेत.</t>
        </is>
      </c>
    </row>
    <row r="50" ht="27.75" customHeight="1">
      <c r="A50" s="2" t="n">
        <v>37</v>
      </c>
      <c r="B50" s="3" t="inlineStr">
        <is>
          <t>Colour codes for status tags (OK / Hold / Damaged) are standardized.</t>
        </is>
      </c>
      <c r="C50" s="11" t="n"/>
      <c r="D50" s="2">
        <f>IF(C50="Yes",2,0)</f>
        <v/>
      </c>
      <c r="E50" s="12" t="n"/>
      <c r="F50" s="45" t="inlineStr">
        <is>
          <t>स्थिति टैग (OK / होल्ड / ख़राब) के कलर-कोड एक समान (मानकीकृत) हैं।</t>
        </is>
      </c>
      <c r="G50" s="45" t="inlineStr">
        <is>
          <t>स्थिती टॅगचे (OK / होल्ड / खराब) कलर-कोड एकसारखे (प्रमाणित) आहेत.</t>
        </is>
      </c>
    </row>
    <row r="51" ht="27.75" customHeight="1">
      <c r="A51" s="2" t="n">
        <v>38</v>
      </c>
      <c r="B51" s="3" t="inlineStr">
        <is>
          <t>Stock-take and reconciliation formats are standardized and in use.</t>
        </is>
      </c>
      <c r="C51" s="11" t="n"/>
      <c r="D51" s="2">
        <f>IF(C51="Yes",2,0)</f>
        <v/>
      </c>
      <c r="E51" s="12" t="n"/>
      <c r="F51" s="45" t="inlineStr">
        <is>
          <t>स्टॉक-टेक और मिलान (रिकंसिलिएशन) के फ़ॉर्मेट मानकीकृत हैं और उपयोग में हैं।</t>
        </is>
      </c>
      <c r="G51" s="45" t="inlineStr">
        <is>
          <t>स्टॉक-टेक आणि ताळमेळ (रिकन्सिलिएशन) यांचे फॉरमॅट प्रमाणित आहेत आणि वापरात आहेत.</t>
        </is>
      </c>
    </row>
    <row r="52" ht="27.75" customHeight="1">
      <c r="A52" s="2" t="n">
        <v>39</v>
      </c>
      <c r="B52" s="3" t="inlineStr">
        <is>
          <t>5S checklists for FG stores are filled regularly.</t>
        </is>
      </c>
      <c r="C52" s="11" t="n"/>
      <c r="D52" s="2">
        <f>IF(C52="Yes",2,0)</f>
        <v/>
      </c>
      <c r="E52" s="12" t="n"/>
      <c r="F52" s="45" t="inlineStr">
        <is>
          <t>FG स्टोर की 5S चेकलिस्ट नियमित रूप से भरी जाती हैं।</t>
        </is>
      </c>
      <c r="G52" s="45" t="inlineStr">
        <is>
          <t>FG स्टोअरच्या 5S चेकलिस्ट नियमितपणे भरल्या जातात.</t>
        </is>
      </c>
    </row>
    <row r="53" ht="27.75" customHeight="1">
      <c r="A53" s="2" t="n">
        <v>40</v>
      </c>
      <c r="B53" s="3" t="inlineStr">
        <is>
          <t>5S board with audit scores is maintained.</t>
        </is>
      </c>
      <c r="C53" s="11" t="n"/>
      <c r="D53" s="2">
        <f>IF(C53="Yes",2,0)</f>
        <v/>
      </c>
      <c r="E53" s="12" t="n"/>
      <c r="F53" s="45" t="inlineStr">
        <is>
          <t>ऑडिट स्कोर वाला 5S बोर्ड बनाए रखा गया है।</t>
        </is>
      </c>
      <c r="G53" s="45" t="inlineStr">
        <is>
          <t>ऑडिट स्कोअर असलेला 5S फलक अद्ययावत ठेवला आहे.</t>
        </is>
      </c>
    </row>
    <row r="54">
      <c r="A54" s="38" t="inlineStr">
        <is>
          <t>Sub-total 4S (out of 20)</t>
        </is>
      </c>
      <c r="B54" s="44" t="n"/>
      <c r="C54" s="43" t="n"/>
      <c r="D54" s="15">
        <f>SUM(D44:D53)</f>
        <v/>
      </c>
      <c r="E54" s="16" t="n"/>
      <c r="F54" s="16" t="n"/>
      <c r="G54" s="16" t="n"/>
    </row>
    <row r="55">
      <c r="A55" s="37" t="inlineStr">
        <is>
          <t>5S – SHITSUKE (SUSTAIN)</t>
        </is>
      </c>
      <c r="B55" s="44" t="n"/>
      <c r="C55" s="44" t="n"/>
      <c r="D55" s="44" t="n"/>
      <c r="E55" s="43" t="n"/>
      <c r="F55" s="43" t="n"/>
      <c r="G55" s="43" t="n"/>
    </row>
    <row r="56" ht="27.75" customHeight="1">
      <c r="A56" s="2" t="n">
        <v>41</v>
      </c>
      <c r="B56" s="3" t="inlineStr">
        <is>
          <t>FG store staff are trained in 5S, safe stacking and forklift safety.</t>
        </is>
      </c>
      <c r="C56" s="11" t="n"/>
      <c r="D56" s="2">
        <f>IF(C56="Yes",2,0)</f>
        <v/>
      </c>
      <c r="E56" s="12" t="n"/>
      <c r="F56" s="45" t="inlineStr">
        <is>
          <t>FG स्टोर कर्मचारी 5S, सुरक्षित स्टैकिंग और फ़ोर्कलिफ़्ट सुरक्षा में प्रशिक्षित हैं।</t>
        </is>
      </c>
      <c r="G56" s="45" t="inlineStr">
        <is>
          <t>FG स्टोअर कर्मचारी 5S, सुरक्षित माल रचणे आणि फोर्कलिफ्ट सुरक्षेत प्रशिक्षित आहेत.</t>
        </is>
      </c>
    </row>
    <row r="57" ht="27.75" customHeight="1">
      <c r="A57" s="2" t="n">
        <v>42</v>
      </c>
      <c r="B57" s="3" t="inlineStr">
        <is>
          <t>Cycle counts / stock audits are done as per schedule with accuracy tracked.</t>
        </is>
      </c>
      <c r="C57" s="11" t="n"/>
      <c r="D57" s="2">
        <f>IF(C57="Yes",2,0)</f>
        <v/>
      </c>
      <c r="E57" s="12" t="n"/>
      <c r="F57" s="45" t="inlineStr">
        <is>
          <t>साइकल काउंट / स्टॉक ऑडिट शेड्यूल के अनुसार होते हैं और सटीकता पर नज़र रखी जाती है।</t>
        </is>
      </c>
      <c r="G57" s="45" t="inlineStr">
        <is>
          <t>सायकल काउंट / स्टॉक ऑडिट वेळापत्रकानुसार होतात आणि अचूकतेवर लक्ष ठेवले जाते.</t>
        </is>
      </c>
    </row>
    <row r="58" ht="27.75" customHeight="1">
      <c r="A58" s="2" t="n">
        <v>43</v>
      </c>
      <c r="B58" s="3" t="inlineStr">
        <is>
          <t>5S audits are conducted as per schedule.</t>
        </is>
      </c>
      <c r="C58" s="11" t="n"/>
      <c r="D58" s="2">
        <f>IF(C58="Yes",2,0)</f>
        <v/>
      </c>
      <c r="E58" s="12" t="n"/>
      <c r="F58" s="45" t="inlineStr">
        <is>
          <t>5S ऑडिट शेड्यूल के अनुसार होते हैं।</t>
        </is>
      </c>
      <c r="G58" s="45" t="inlineStr">
        <is>
          <t>5S ऑडिट वेळापत्रकानुसार होतात.</t>
        </is>
      </c>
    </row>
    <row r="59" ht="27.75" customHeight="1">
      <c r="A59" s="2" t="n">
        <v>44</v>
      </c>
      <c r="B59" s="3" t="inlineStr">
        <is>
          <t>Previous audit non-conformities are closed on time.</t>
        </is>
      </c>
      <c r="C59" s="11" t="n"/>
      <c r="D59" s="2">
        <f>IF(C59="Yes",2,0)</f>
        <v/>
      </c>
      <c r="E59" s="12" t="n"/>
      <c r="F59" s="45" t="inlineStr">
        <is>
          <t>पिछले ऑडिट की कमियाँ समय पर दूर की जाती हैं।</t>
        </is>
      </c>
      <c r="G59" s="45" t="inlineStr">
        <is>
          <t>मागील ऑडिटमधील त्रुटी वेळेत दूर केल्या जातात.</t>
        </is>
      </c>
    </row>
    <row r="60" ht="27.75" customHeight="1">
      <c r="A60" s="2" t="n">
        <v>45</v>
      </c>
      <c r="B60" s="3" t="inlineStr">
        <is>
          <t>Dispatch documentation is completed in real time; no backlog entries.</t>
        </is>
      </c>
      <c r="C60" s="11" t="n"/>
      <c r="D60" s="2">
        <f>IF(C60="Yes",2,0)</f>
        <v/>
      </c>
      <c r="E60" s="12" t="n"/>
      <c r="F60" s="45" t="inlineStr">
        <is>
          <t>डिस्पैच के दस्तावेज़ उसी समय पूरे किए जाते हैं; कोई एंट्री बाक़ी नहीं रहती।</t>
        </is>
      </c>
      <c r="G60" s="45" t="inlineStr">
        <is>
          <t>डिस्पॅचची कागदपत्रे त्याच वेळी पूर्ण केली जातात; कोणतीही नोंद प्रलंबित राहत नाही.</t>
        </is>
      </c>
    </row>
    <row r="61" ht="27.75" customHeight="1">
      <c r="A61" s="2" t="n">
        <v>46</v>
      </c>
      <c r="B61" s="3" t="inlineStr">
        <is>
          <t>FIFO discipline is verified and maintained without supervision.</t>
        </is>
      </c>
      <c r="C61" s="11" t="n"/>
      <c r="D61" s="2">
        <f>IF(C61="Yes",2,0)</f>
        <v/>
      </c>
      <c r="E61" s="12" t="n"/>
      <c r="F61" s="45" t="inlineStr">
        <is>
          <t>FIFO अनुशासन की जाँच होती है और यह बिना निगरानी के भी बना रहता है।</t>
        </is>
      </c>
      <c r="G61" s="45" t="inlineStr">
        <is>
          <t>FIFO शिस्तीची तपासणी होते आणि देखरेख नसतानाही ती टिकून राहते.</t>
        </is>
      </c>
    </row>
    <row r="62" ht="27.75" customHeight="1">
      <c r="A62" s="2" t="n">
        <v>47</v>
      </c>
      <c r="B62" s="3" t="inlineStr">
        <is>
          <t>Vehicle loading discipline (no unsafe loading) is consistently followed.</t>
        </is>
      </c>
      <c r="C62" s="11" t="n"/>
      <c r="D62" s="2">
        <f>IF(C62="Yes",2,0)</f>
        <v/>
      </c>
      <c r="E62" s="12" t="n"/>
      <c r="F62" s="45" t="inlineStr">
        <is>
          <t>गाड़ी लादने का अनुशासन (असुरक्षित लोडिंग नहीं) लगातार पालन किया जाता है।</t>
        </is>
      </c>
      <c r="G62" s="45" t="inlineStr">
        <is>
          <t>वाहन भरण्याची शिस्त (असुरक्षित लोडिंग नाही) सातत्याने पाळली जाते.</t>
        </is>
      </c>
    </row>
    <row r="63" ht="27.75" customHeight="1">
      <c r="A63" s="2" t="n">
        <v>48</v>
      </c>
      <c r="B63" s="3" t="inlineStr">
        <is>
          <t>Improvement suggestions for FG stores are generated and implemented.</t>
        </is>
      </c>
      <c r="C63" s="11" t="n"/>
      <c r="D63" s="2">
        <f>IF(C63="Yes",2,0)</f>
        <v/>
      </c>
      <c r="E63" s="12" t="n"/>
      <c r="F63" s="45" t="inlineStr">
        <is>
          <t>FG स्टोर सुधार के सुझाव दिए जाते हैं और लागू किए जाते हैं।</t>
        </is>
      </c>
      <c r="G63" s="45" t="inlineStr">
        <is>
          <t>FG स्टोअर सुधारणेच्या सूचना दिल्या जातात आणि अंमलात आणल्या जातात.</t>
        </is>
      </c>
    </row>
    <row r="64" ht="27.75" customHeight="1">
      <c r="A64" s="2" t="n">
        <v>49</v>
      </c>
      <c r="B64" s="3" t="inlineStr">
        <is>
          <t>Management reviews FG store 5S and stock health periodically.</t>
        </is>
      </c>
      <c r="C64" s="11" t="n"/>
      <c r="D64" s="2">
        <f>IF(C64="Yes",2,0)</f>
        <v/>
      </c>
      <c r="E64" s="12" t="n"/>
      <c r="F64" s="45" t="inlineStr">
        <is>
          <t>प्रबंधन समय-समय पर FG स्टोर के 5S और स्टॉक की स्थिति की समीक्षा करता है।</t>
        </is>
      </c>
      <c r="G64" s="45" t="inlineStr">
        <is>
          <t>व्यवस्थापन वेळोवेळी FG स्टोअरच्या 5S आणि साठ्याच्या स्थितीचा आढावा घेते.</t>
        </is>
      </c>
    </row>
    <row r="65" ht="27.75" customHeight="1">
      <c r="A65" s="2" t="n">
        <v>50</v>
      </c>
      <c r="B65" s="3" t="inlineStr">
        <is>
          <t>FG store 5S score trend is stable or improving over the last 3 audits.</t>
        </is>
      </c>
      <c r="C65" s="11" t="n"/>
      <c r="D65" s="2">
        <f>IF(C65="Yes",2,0)</f>
        <v/>
      </c>
      <c r="E65" s="12" t="n"/>
      <c r="F65" s="45" t="inlineStr">
        <is>
          <t>पिछले 3 ऑडिट में FG स्टोर का 5S स्कोर स्थिर है या बेहतर हो रहा है।</t>
        </is>
      </c>
      <c r="G65" s="45" t="inlineStr">
        <is>
          <t>मागील 3 ऑडिटमध्ये FG स्टोअरचा 5S स्कोअर स्थिर आहे किंवा सुधारत आहे.</t>
        </is>
      </c>
    </row>
    <row r="66">
      <c r="A66" s="38" t="inlineStr">
        <is>
          <t>Sub-total 5S (out of 20)</t>
        </is>
      </c>
      <c r="B66" s="44" t="n"/>
      <c r="C66" s="43" t="n"/>
      <c r="D66" s="15">
        <f>SUM(D56:D65)</f>
        <v/>
      </c>
      <c r="E66" s="16" t="n"/>
      <c r="F66" s="16" t="n"/>
      <c r="G66" s="16" t="n"/>
    </row>
    <row r="67">
      <c r="A67" s="39" t="inlineStr">
        <is>
          <t>TOTAL SCORE (out of 100)</t>
        </is>
      </c>
      <c r="B67" s="44" t="n"/>
      <c r="C67" s="43" t="n"/>
      <c r="D67" s="17">
        <f>D18+D30+D42+D54+D66</f>
        <v/>
      </c>
      <c r="E67" s="10" t="n"/>
      <c r="F67" s="10" t="n"/>
      <c r="G67" s="10" t="n"/>
    </row>
    <row r="68">
      <c r="A68" s="40" t="inlineStr">
        <is>
          <t>PERCENTAGE</t>
        </is>
      </c>
      <c r="B68" s="44" t="n"/>
      <c r="C68" s="43" t="n"/>
      <c r="D68" s="18">
        <f>D67/100</f>
        <v/>
      </c>
      <c r="E68" s="19" t="n"/>
      <c r="F68" s="19" t="n"/>
      <c r="G68" s="19" t="n"/>
    </row>
    <row r="69">
      <c r="A69" s="40" t="inlineStr">
        <is>
          <t>RATING</t>
        </is>
      </c>
      <c r="B69" s="44" t="n"/>
      <c r="C69" s="43" t="n"/>
      <c r="D69" s="21">
        <f>IF(D68&gt;=0.9,"Outstanding",IF(D68&gt;=0.75,"On Track",IF(D68&gt;=0.6,"Improving","Needs Support")))</f>
        <v/>
      </c>
      <c r="E69" s="19" t="n"/>
      <c r="F69" s="19" t="n"/>
      <c r="G69" s="19" t="n"/>
    </row>
    <row r="70"/>
    <row r="71">
      <c r="A71" s="36" t="inlineStr">
        <is>
          <t>Rating scale:  ≥ 90% Outstanding  |  75–89% On Track  |  60–74% Improving  |  &lt; 60% Needs Support.  Points scored 'No' must be entered in the corrective action tracker.</t>
        </is>
      </c>
    </row>
    <row r="72"/>
    <row r="73">
      <c r="B73" s="20" t="inlineStr">
        <is>
          <t>Auditor Signature: ______________________</t>
        </is>
      </c>
      <c r="E73" s="20" t="inlineStr">
        <is>
          <t>Area Owner Signature: ______________________</t>
        </is>
      </c>
      <c r="F73" s="20" t="n"/>
      <c r="G73" s="20" t="n"/>
    </row>
    <row r="74">
      <c r="A74" s="22" t="inlineStr">
        <is>
          <t>Prepared by AB Associates, Nashik.</t>
        </is>
      </c>
    </row>
  </sheetData>
  <mergeCells count="16">
    <mergeCell ref="A42:C42"/>
    <mergeCell ref="A55:E55"/>
    <mergeCell ref="A68:C68"/>
    <mergeCell ref="A66:C66"/>
    <mergeCell ref="A43:E43"/>
    <mergeCell ref="A7:E7"/>
    <mergeCell ref="A19:E19"/>
    <mergeCell ref="A71:E71"/>
    <mergeCell ref="A18:C18"/>
    <mergeCell ref="A67:C67"/>
    <mergeCell ref="A1:E1"/>
    <mergeCell ref="A30:C30"/>
    <mergeCell ref="A69:C69"/>
    <mergeCell ref="A31:E31"/>
    <mergeCell ref="A54:C54"/>
    <mergeCell ref="E2:E4"/>
  </mergeCells>
  <dataValidations count="1">
    <dataValidation sqref="C8:C17 C20:C29 C32:C41 C44:C53 C56:C65" showDropDown="0" showInputMessage="0" showErrorMessage="1" allowBlank="1" errorTitle="Invalid entry" error="Please select Yes or No" type="list">
      <formula1>"Yes,No"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topLeftCell="A61" zoomScaleNormal="100" workbookViewId="0">
      <selection activeCell="A74" sqref="A74"/>
    </sheetView>
  </sheetViews>
  <sheetFormatPr baseColWidth="8" defaultColWidth="8.5703125" defaultRowHeight="15"/>
  <cols>
    <col width="6" customWidth="1" min="1" max="1"/>
    <col width="68" customWidth="1" min="2" max="2"/>
    <col width="12" customWidth="1" min="3" max="3"/>
    <col width="9" customWidth="1" min="4" max="4"/>
    <col width="32" customWidth="1" min="5" max="5"/>
    <col width="60" customWidth="1" min="6" max="6"/>
    <col width="60" customWidth="1" min="7" max="7"/>
  </cols>
  <sheetData>
    <row r="1" ht="25.5" customHeight="1">
      <c r="A1" s="29" t="inlineStr">
        <is>
          <t>5S AUDIT CHECK SHEET – PACKING AREA</t>
        </is>
      </c>
    </row>
    <row r="2" ht="15" customHeight="1">
      <c r="A2" s="14" t="inlineStr">
        <is>
          <t>Company:</t>
        </is>
      </c>
      <c r="B2" s="13" t="n"/>
      <c r="C2" s="14" t="inlineStr">
        <is>
          <t>Audit Date:</t>
        </is>
      </c>
      <c r="D2" s="13" t="n"/>
      <c r="E2" s="41" t="inlineStr">
        <is>
          <t>Scoring: Yes = 2 marks, No = 0 marks.
Max score = 100.</t>
        </is>
      </c>
    </row>
    <row r="3">
      <c r="A3" s="14" t="inlineStr">
        <is>
          <t>Area / Dept.:</t>
        </is>
      </c>
      <c r="B3" s="13" t="inlineStr">
        <is>
          <t>Packing Area</t>
        </is>
      </c>
      <c r="C3" s="14" t="inlineStr">
        <is>
          <t>Auditor Name:</t>
        </is>
      </c>
      <c r="D3" s="13" t="n"/>
    </row>
    <row r="4">
      <c r="A4" s="14" t="inlineStr">
        <is>
          <t>Shift:</t>
        </is>
      </c>
      <c r="B4" s="13" t="n"/>
      <c r="C4" s="14" t="inlineStr">
        <is>
          <t>Auditee / Area Owner:</t>
        </is>
      </c>
      <c r="D4" s="13" t="n"/>
    </row>
    <row r="5"/>
    <row r="6" ht="19.5" customHeight="1">
      <c r="A6" s="1" t="inlineStr">
        <is>
          <t>Sr.</t>
        </is>
      </c>
      <c r="B6" s="1" t="inlineStr">
        <is>
          <t>Check Point</t>
        </is>
      </c>
      <c r="C6" s="1" t="inlineStr">
        <is>
          <t>Yes / No</t>
        </is>
      </c>
      <c r="D6" s="1" t="inlineStr">
        <is>
          <t>Marks</t>
        </is>
      </c>
      <c r="E6" s="1" t="inlineStr">
        <is>
          <t>Remarks / Observations</t>
        </is>
      </c>
      <c r="F6" s="1" t="inlineStr">
        <is>
          <t>Check Point (Hindi)</t>
        </is>
      </c>
      <c r="G6" s="1" t="inlineStr">
        <is>
          <t>Check Point (Marathi)</t>
        </is>
      </c>
    </row>
    <row r="7">
      <c r="A7" s="37" t="inlineStr">
        <is>
          <t>1S – SEIRI (SORT)</t>
        </is>
      </c>
      <c r="B7" s="44" t="n"/>
      <c r="C7" s="44" t="n"/>
      <c r="D7" s="44" t="n"/>
      <c r="E7" s="43" t="n"/>
      <c r="F7" s="43" t="n"/>
      <c r="G7" s="43" t="n"/>
    </row>
    <row r="8" ht="27.75" customHeight="1">
      <c r="A8" s="2" t="n">
        <v>1</v>
      </c>
      <c r="B8" s="3" t="inlineStr">
        <is>
          <t>Only packing materials for the current product / batch are at the packing line.</t>
        </is>
      </c>
      <c r="C8" s="11" t="n"/>
      <c r="D8" s="2">
        <f>IF(C8="Yes",2,0)</f>
        <v/>
      </c>
      <c r="E8" s="12" t="n"/>
      <c r="F8" s="45" t="inlineStr">
        <is>
          <t>पैकिंग लाइन पर केवल वर्तमान उत्पाद / बैच की पैकिंग सामग्री ही है।</t>
        </is>
      </c>
      <c r="G8" s="45" t="inlineStr">
        <is>
          <t>पॅकिंग लाईनवर फक्त चालू उत्पादन / बॅचचेच पॅकिंग साहित्य आहे.</t>
        </is>
      </c>
    </row>
    <row r="9" ht="27.75" customHeight="1">
      <c r="A9" s="2" t="n">
        <v>2</v>
      </c>
      <c r="B9" s="3" t="inlineStr">
        <is>
          <t>Left-over packing materials of previous batches are returned / reconciled.</t>
        </is>
      </c>
      <c r="C9" s="11" t="n"/>
      <c r="D9" s="2">
        <f>IF(C9="Yes",2,0)</f>
        <v/>
      </c>
      <c r="E9" s="12" t="n"/>
      <c r="F9" s="45" t="inlineStr">
        <is>
          <t>पिछले बैच की बची हुई पैकिंग सामग्री लौटा दी जाती है / उसका हिसाब मिलाया जाता है।</t>
        </is>
      </c>
      <c r="G9" s="45" t="inlineStr">
        <is>
          <t>मागील बॅचचे उरलेले पॅकिंग साहित्य परत केले जाते / त्याचा हिशोब जुळवला जातो.</t>
        </is>
      </c>
    </row>
    <row r="10" ht="27.75" customHeight="1">
      <c r="A10" s="2" t="n">
        <v>3</v>
      </c>
      <c r="B10" s="3" t="inlineStr">
        <is>
          <t>Rejected / damaged packing materials are segregated in marked bins.</t>
        </is>
      </c>
      <c r="C10" s="11" t="n"/>
      <c r="D10" s="2">
        <f>IF(C10="Yes",2,0)</f>
        <v/>
      </c>
      <c r="E10" s="12" t="n"/>
      <c r="F10" s="45" t="inlineStr">
        <is>
          <t>रिजेक्ट / ख़राब पैकिंग सामग्री चिह्नित बिनों में अलग रखी जाती है।</t>
        </is>
      </c>
      <c r="G10" s="45" t="inlineStr">
        <is>
          <t>रिजेक्ट / खराब पॅकिंग साहित्य आखलेल्या बिनमध्ये वेगळे ठेवले जाते.</t>
        </is>
      </c>
    </row>
    <row r="11" ht="27.75" customHeight="1">
      <c r="A11" s="2" t="n">
        <v>4</v>
      </c>
      <c r="B11" s="3" t="inlineStr">
        <is>
          <t>Obsolete artwork, labels and cartons are removed and destroyed as per procedure.</t>
        </is>
      </c>
      <c r="C11" s="11" t="n"/>
      <c r="D11" s="2">
        <f>IF(C11="Yes",2,0)</f>
        <v/>
      </c>
      <c r="E11" s="12" t="n"/>
      <c r="F11" s="45" t="inlineStr">
        <is>
          <t>पुराने आर्टवर्क, लेबल और कार्टन प्रक्रिया के अनुसार हटाकर नष्ट किए जाते हैं।</t>
        </is>
      </c>
      <c r="G11" s="45" t="inlineStr">
        <is>
          <t>जुने आर्टवर्क, लेबल आणि कार्टन प्रक्रियेनुसार काढून नष्ट केले जातात.</t>
        </is>
      </c>
    </row>
    <row r="12" ht="27.75" customHeight="1">
      <c r="A12" s="2" t="n">
        <v>5</v>
      </c>
      <c r="B12" s="3" t="inlineStr">
        <is>
          <t>No excess tools, tapes or consumables are hoarded at packing stations.</t>
        </is>
      </c>
      <c r="C12" s="11" t="n"/>
      <c r="D12" s="2">
        <f>IF(C12="Yes",2,0)</f>
        <v/>
      </c>
      <c r="E12" s="12" t="n"/>
      <c r="F12" s="45" t="inlineStr">
        <is>
          <t>पैकिंग स्टेशनों पर ज़रूरत से ज़्यादा औज़ार, टेप या उपभोग्य सामान जमा करके नहीं रखा है।</t>
        </is>
      </c>
      <c r="G12" s="45" t="inlineStr">
        <is>
          <t>पॅकिंग स्टेशनवर गरजेपेक्षा जास्त टूल्स, टेप किंवा कंझ्युमेबल्स साठवून ठेवलेले नाहीत.</t>
        </is>
      </c>
    </row>
    <row r="13" ht="27.75" customHeight="1">
      <c r="A13" s="2" t="n">
        <v>6</v>
      </c>
      <c r="B13" s="3" t="inlineStr">
        <is>
          <t>Waste (shrink wrap, strapping, trimmings) is removed at defined frequency.</t>
        </is>
      </c>
      <c r="C13" s="11" t="n"/>
      <c r="D13" s="2">
        <f>IF(C13="Yes",2,0)</f>
        <v/>
      </c>
      <c r="E13" s="12" t="n"/>
      <c r="F13" s="45" t="inlineStr">
        <is>
          <t>कचरा (श्रिंक रैप, स्ट्रैपिंग, कतरन) तय अंतराल पर हटाया जाता है।</t>
        </is>
      </c>
      <c r="G13" s="45" t="inlineStr">
        <is>
          <t>कचरा (श्रिंक रॅप, स्ट्रॅपिंग, कात्रण) ठरलेल्या अंतराने हटवला जातो.</t>
        </is>
      </c>
    </row>
    <row r="14" ht="27.75" customHeight="1">
      <c r="A14" s="2" t="n">
        <v>7</v>
      </c>
      <c r="B14" s="3" t="inlineStr">
        <is>
          <t>Unused machines / attachments are removed from the packing area.</t>
        </is>
      </c>
      <c r="C14" s="11" t="n"/>
      <c r="D14" s="2">
        <f>IF(C14="Yes",2,0)</f>
        <v/>
      </c>
      <c r="E14" s="12" t="n"/>
      <c r="F14" s="45" t="inlineStr">
        <is>
          <t>इस्तेमाल में न आने वाली मशीनें / अटैचमेंट पैकिंग क्षेत्र से हटा दिए गए हैं।</t>
        </is>
      </c>
      <c r="G14" s="45" t="inlineStr">
        <is>
          <t>न वापरलेली मशीन / अटॅचमेंट पॅकिंग क्षेत्रातून काढून टाकली आहेत.</t>
        </is>
      </c>
    </row>
    <row r="15" ht="27.75" customHeight="1">
      <c r="A15" s="2" t="n">
        <v>8</v>
      </c>
      <c r="B15" s="3" t="inlineStr">
        <is>
          <t>Only current-version packing standards and documents are displayed.</t>
        </is>
      </c>
      <c r="C15" s="11" t="n"/>
      <c r="D15" s="2">
        <f>IF(C15="Yes",2,0)</f>
        <v/>
      </c>
      <c r="E15" s="12" t="n"/>
      <c r="F15" s="45" t="inlineStr">
        <is>
          <t>केवल वर्तमान संस्करण के पैकिंग मानक और दस्तावेज़ लगे हैं।</t>
        </is>
      </c>
      <c r="G15" s="45" t="inlineStr">
        <is>
          <t>फक्त चालू आवृत्तीची पॅकिंग मानके आणि कागदपत्रे लावलेली आहेत.</t>
        </is>
      </c>
    </row>
    <row r="16" ht="27.75" customHeight="1">
      <c r="A16" s="2" t="n">
        <v>9</v>
      </c>
      <c r="B16" s="3" t="inlineStr">
        <is>
          <t>A red-tag area is available and cleared within the defined time.</t>
        </is>
      </c>
      <c r="C16" s="11" t="n"/>
      <c r="D16" s="2">
        <f>IF(C16="Yes",2,0)</f>
        <v/>
      </c>
      <c r="E16" s="12" t="n"/>
      <c r="F16" s="45" t="inlineStr">
        <is>
          <t>रेड-टैग क्षेत्र उपलब्ध है और तय समय के भीतर खाली किया जाता है।</t>
        </is>
      </c>
      <c r="G16" s="45" t="inlineStr">
        <is>
          <t>रेड-टॅग क्षेत्र उपलब्ध आहे आणि ठरलेल्या वेळेत रिकामे केले जाते.</t>
        </is>
      </c>
    </row>
    <row r="17" ht="27.75" customHeight="1">
      <c r="A17" s="2" t="n">
        <v>10</v>
      </c>
      <c r="B17" s="3" t="inlineStr">
        <is>
          <t>No personal items at packing workstations.</t>
        </is>
      </c>
      <c r="C17" s="11" t="n"/>
      <c r="D17" s="2">
        <f>IF(C17="Yes",2,0)</f>
        <v/>
      </c>
      <c r="E17" s="12" t="n"/>
      <c r="F17" s="45" t="inlineStr">
        <is>
          <t>पैकिंग वर्कस्टेशन पर कोई निजी सामान नहीं है।</t>
        </is>
      </c>
      <c r="G17" s="45" t="inlineStr">
        <is>
          <t>पॅकिंग वर्कस्टेशनवर कोणतेही वैयक्तिक सामान नाही.</t>
        </is>
      </c>
    </row>
    <row r="18">
      <c r="A18" s="38" t="inlineStr">
        <is>
          <t>Sub-total 1S (out of 20)</t>
        </is>
      </c>
      <c r="B18" s="44" t="n"/>
      <c r="C18" s="43" t="n"/>
      <c r="D18" s="15">
        <f>SUM(D8:D17)</f>
        <v/>
      </c>
      <c r="E18" s="16" t="n"/>
      <c r="F18" s="16" t="n"/>
      <c r="G18" s="16" t="n"/>
    </row>
    <row r="19">
      <c r="A19" s="37" t="inlineStr">
        <is>
          <t>2S – SEITON (SET IN ORDER)</t>
        </is>
      </c>
      <c r="B19" s="44" t="n"/>
      <c r="C19" s="44" t="n"/>
      <c r="D19" s="44" t="n"/>
      <c r="E19" s="43" t="n"/>
      <c r="F19" s="43" t="n"/>
      <c r="G19" s="43" t="n"/>
    </row>
    <row r="20" ht="27.75" customHeight="1">
      <c r="A20" s="2" t="n">
        <v>11</v>
      </c>
      <c r="B20" s="3" t="inlineStr">
        <is>
          <t>Packing materials are stored on labelled racks with identified locations.</t>
        </is>
      </c>
      <c r="C20" s="11" t="n"/>
      <c r="D20" s="2">
        <f>IF(C20="Yes",2,0)</f>
        <v/>
      </c>
      <c r="E20" s="12" t="n"/>
      <c r="F20" s="45" t="inlineStr">
        <is>
          <t>पैकिंग सामग्री पहचानी हुई जगहों के साथ लेबल लगे रैकों पर रखी है।</t>
        </is>
      </c>
      <c r="G20" s="45" t="inlineStr">
        <is>
          <t>पॅकिंग साहित्य ओळख असलेल्या जागांसह लेबल लावलेल्या रॅकवर ठेवलेले आहे.</t>
        </is>
      </c>
    </row>
    <row r="21" ht="27.75" customHeight="1">
      <c r="A21" s="2" t="n">
        <v>12</v>
      </c>
      <c r="B21" s="3" t="inlineStr">
        <is>
          <t>Labels / printed materials are stored in a secure, controlled area with access control.</t>
        </is>
      </c>
      <c r="C21" s="11" t="n"/>
      <c r="D21" s="2">
        <f>IF(C21="Yes",2,0)</f>
        <v/>
      </c>
      <c r="E21" s="12" t="n"/>
      <c r="F21" s="45" t="inlineStr">
        <is>
          <t>लेबल / छपी हुई सामग्री सुरक्षित, नियंत्रित क्षेत्र में रखी जाती है जहाँ प्रवेश नियंत्रित है।</t>
        </is>
      </c>
      <c r="G21" s="45" t="inlineStr">
        <is>
          <t>लेबल / छापील साहित्य सुरक्षित, नियंत्रित क्षेत्रात ठेवले जाते जिथे प्रवेशावर नियंत्रण आहे.</t>
        </is>
      </c>
    </row>
    <row r="22" ht="27.75" customHeight="1">
      <c r="A22" s="2" t="n">
        <v>13</v>
      </c>
      <c r="B22" s="3" t="inlineStr">
        <is>
          <t>Line clearance board indicates current product, batch and status.</t>
        </is>
      </c>
      <c r="C22" s="11" t="n"/>
      <c r="D22" s="2">
        <f>IF(C22="Yes",2,0)</f>
        <v/>
      </c>
      <c r="E22" s="12" t="n"/>
      <c r="F22" s="45" t="inlineStr">
        <is>
          <t>लाइन क्लीयरेंस बोर्ड पर वर्तमान उत्पाद, बैच और स्थिति दिखाई गई है।</t>
        </is>
      </c>
      <c r="G22" s="45" t="inlineStr">
        <is>
          <t>लाईन क्लिअरन्स फलकावर चालू उत्पादन, बॅच आणि स्थिती दाखवलेली आहे.</t>
        </is>
      </c>
    </row>
    <row r="23" ht="27.75" customHeight="1">
      <c r="A23" s="2" t="n">
        <v>14</v>
      </c>
      <c r="B23" s="3" t="inlineStr">
        <is>
          <t>Packing tools (tape guns, cutters, staplers) have shadow locations.</t>
        </is>
      </c>
      <c r="C23" s="11" t="n"/>
      <c r="D23" s="2">
        <f>IF(C23="Yes",2,0)</f>
        <v/>
      </c>
      <c r="E23" s="12" t="n"/>
      <c r="F23" s="45" t="inlineStr">
        <is>
          <t>पैकिंग औज़ारों (टेप गन, कटर, स्टेपलर) की शैडो (आकृति वाली) जगहें हैं।</t>
        </is>
      </c>
      <c r="G23" s="45" t="inlineStr">
        <is>
          <t>पॅकिंग टूल्सच्या (टेप गन, कटर, स्टेपलर) शॅडो (बाह्यरेषा असलेल्या) जागा आहेत.</t>
        </is>
      </c>
    </row>
    <row r="24" ht="27.75" customHeight="1">
      <c r="A24" s="2" t="n">
        <v>15</v>
      </c>
      <c r="B24" s="3" t="inlineStr">
        <is>
          <t>Input, output and rework stations are clearly marked on the floor.</t>
        </is>
      </c>
      <c r="C24" s="11" t="n"/>
      <c r="D24" s="2">
        <f>IF(C24="Yes",2,0)</f>
        <v/>
      </c>
      <c r="E24" s="12" t="n"/>
      <c r="F24" s="45" t="inlineStr">
        <is>
          <t>इनपुट, आउटपुट और रीवर्क स्टेशन फ़र्श पर साफ़ चिह्नित हैं।</t>
        </is>
      </c>
      <c r="G24" s="45" t="inlineStr">
        <is>
          <t>इनपुट, आउटपुट आणि रीवर्क स्टेशन जमिनीवर स्पष्टपणे आखलेले आहेत.</t>
        </is>
      </c>
    </row>
    <row r="25" ht="27.75" customHeight="1">
      <c r="A25" s="2" t="n">
        <v>16</v>
      </c>
      <c r="B25" s="3" t="inlineStr">
        <is>
          <t>Weighing scales and check-weighers have designated positions.</t>
        </is>
      </c>
      <c r="C25" s="11" t="n"/>
      <c r="D25" s="2">
        <f>IF(C25="Yes",2,0)</f>
        <v/>
      </c>
      <c r="E25" s="12" t="n"/>
      <c r="F25" s="45" t="inlineStr">
        <is>
          <t>तौल काँटों और चेक-वेइंग मशीनों की तय जगहें हैं।</t>
        </is>
      </c>
      <c r="G25" s="45" t="inlineStr">
        <is>
          <t>वजनकाटे आणि चेक-वेइंग मशीनच्या ठरलेल्या जागा आहेत.</t>
        </is>
      </c>
    </row>
    <row r="26" ht="27.75" customHeight="1">
      <c r="A26" s="2" t="n">
        <v>17</v>
      </c>
      <c r="B26" s="3" t="inlineStr">
        <is>
          <t>Packing material issue follows FIFO with proper tagging.</t>
        </is>
      </c>
      <c r="C26" s="11" t="n"/>
      <c r="D26" s="2">
        <f>IF(C26="Yes",2,0)</f>
        <v/>
      </c>
      <c r="E26" s="12" t="n"/>
      <c r="F26" s="45" t="inlineStr">
        <is>
          <t>पैकिंग सामग्री सही टैगिंग के साथ FIFO के अनुसार जारी की जाती है।</t>
        </is>
      </c>
      <c r="G26" s="45" t="inlineStr">
        <is>
          <t>पॅकिंग साहित्य योग्य टॅगिंगसह FIFO नुसार इश्यू केले जाते.</t>
        </is>
      </c>
    </row>
    <row r="27" ht="27.75" customHeight="1">
      <c r="A27" s="2" t="n">
        <v>18</v>
      </c>
      <c r="B27" s="3" t="inlineStr">
        <is>
          <t>Finished packed goods movement path to FG store is marked and unobstructed.</t>
        </is>
      </c>
      <c r="C27" s="11" t="n"/>
      <c r="D27" s="2">
        <f>IF(C27="Yes",2,0)</f>
        <v/>
      </c>
      <c r="E27" s="12" t="n"/>
      <c r="F27" s="45" t="inlineStr">
        <is>
          <t>पैक हुए तैयार माल के FG स्टोर तक जाने का रास्ता चिह्नित है और बिना रुकावट है।</t>
        </is>
      </c>
      <c r="G27" s="45" t="inlineStr">
        <is>
          <t>पॅक झालेला तयार माल FG स्टोअरपर्यंत नेण्याचा मार्ग आखलेला आहे आणि अडथळाविरहित आहे.</t>
        </is>
      </c>
    </row>
    <row r="28" ht="27.75" customHeight="1">
      <c r="A28" s="2" t="n">
        <v>19</v>
      </c>
      <c r="B28" s="3" t="inlineStr">
        <is>
          <t>Batch coding / printing consumables are stored at identified locations.</t>
        </is>
      </c>
      <c r="C28" s="11" t="n"/>
      <c r="D28" s="2">
        <f>IF(C28="Yes",2,0)</f>
        <v/>
      </c>
      <c r="E28" s="12" t="n"/>
      <c r="F28" s="45" t="inlineStr">
        <is>
          <t>बैच कोडिंग / प्रिंटिंग का उपभोग्य सामान पहचानी हुई जगहों पर रखा जाता है।</t>
        </is>
      </c>
      <c r="G28" s="45" t="inlineStr">
        <is>
          <t>बॅच कोडिंग / प्रिंटिंगचे कंझ्युमेबल्स ओळख असलेल्या जागी ठेवले जातात.</t>
        </is>
      </c>
    </row>
    <row r="29" ht="27.75" customHeight="1">
      <c r="A29" s="2" t="n">
        <v>20</v>
      </c>
      <c r="B29" s="3" t="inlineStr">
        <is>
          <t>Nothing is placed directly on the floor; pallets and stands used.</t>
        </is>
      </c>
      <c r="C29" s="11" t="n"/>
      <c r="D29" s="2">
        <f>IF(C29="Yes",2,0)</f>
        <v/>
      </c>
      <c r="E29" s="12" t="n"/>
      <c r="F29" s="45" t="inlineStr">
        <is>
          <t>कुछ भी सीधे फ़र्श पर नहीं रखा है; पैलेट और स्टैंड का उपयोग होता है।</t>
        </is>
      </c>
      <c r="G29" s="45" t="inlineStr">
        <is>
          <t>काहीही थेट जमिनीवर ठेवलेले नाही; पॅलेट आणि स्टँड वापरले जातात.</t>
        </is>
      </c>
    </row>
    <row r="30">
      <c r="A30" s="38" t="inlineStr">
        <is>
          <t>Sub-total 2S (out of 20)</t>
        </is>
      </c>
      <c r="B30" s="44" t="n"/>
      <c r="C30" s="43" t="n"/>
      <c r="D30" s="15">
        <f>SUM(D20:D29)</f>
        <v/>
      </c>
      <c r="E30" s="16" t="n"/>
      <c r="F30" s="16" t="n"/>
      <c r="G30" s="16" t="n"/>
    </row>
    <row r="31">
      <c r="A31" s="37" t="inlineStr">
        <is>
          <t>3S – SEISO (SHINE)</t>
        </is>
      </c>
      <c r="B31" s="44" t="n"/>
      <c r="C31" s="44" t="n"/>
      <c r="D31" s="44" t="n"/>
      <c r="E31" s="43" t="n"/>
      <c r="F31" s="43" t="n"/>
      <c r="G31" s="43" t="n"/>
    </row>
    <row r="32" ht="27.75" customHeight="1">
      <c r="A32" s="2" t="n">
        <v>21</v>
      </c>
      <c r="B32" s="3" t="inlineStr">
        <is>
          <t>Packing machines (sealers, wrappers, coders) are clean and free of residue.</t>
        </is>
      </c>
      <c r="C32" s="11" t="n"/>
      <c r="D32" s="2">
        <f>IF(C32="Yes",2,0)</f>
        <v/>
      </c>
      <c r="E32" s="12" t="n"/>
      <c r="F32" s="45" t="inlineStr">
        <is>
          <t>पैकिंग मशीनें (सीलर, रैपर, कोडर) साफ़ हैं और उन पर अवशेष नहीं है।</t>
        </is>
      </c>
      <c r="G32" s="45" t="inlineStr">
        <is>
          <t>पॅकिंग मशीन (सीलर, रॅपर, कोडर) स्वच्छ आहेत आणि त्यांवर अवशेष नाहीत.</t>
        </is>
      </c>
    </row>
    <row r="33" ht="27.75" customHeight="1">
      <c r="A33" s="2" t="n">
        <v>22</v>
      </c>
      <c r="B33" s="3" t="inlineStr">
        <is>
          <t>Packing tables and conveyors are clean and free of dust / adhesive marks.</t>
        </is>
      </c>
      <c r="C33" s="11" t="n"/>
      <c r="D33" s="2">
        <f>IF(C33="Yes",2,0)</f>
        <v/>
      </c>
      <c r="E33" s="12" t="n"/>
      <c r="F33" s="45" t="inlineStr">
        <is>
          <t>पैकिंग टेबल और कन्वेयर साफ़ हैं और उन पर धूल / गोंद के निशान नहीं हैं।</t>
        </is>
      </c>
      <c r="G33" s="45" t="inlineStr">
        <is>
          <t>पॅकिंग टेबल आणि कन्व्हेयर स्वच्छ आहेत आणि त्यांवर धूळ / चिकटपणाचे डाग नाहीत.</t>
        </is>
      </c>
    </row>
    <row r="34" ht="27.75" customHeight="1">
      <c r="A34" s="2" t="n">
        <v>23</v>
      </c>
      <c r="B34" s="3" t="inlineStr">
        <is>
          <t>Floors are clean – free of dust, strapping pieces and wrap film.</t>
        </is>
      </c>
      <c r="C34" s="11" t="n"/>
      <c r="D34" s="2">
        <f>IF(C34="Yes",2,0)</f>
        <v/>
      </c>
      <c r="E34" s="12" t="n"/>
      <c r="F34" s="45" t="inlineStr">
        <is>
          <t>फ़र्श साफ़ है – धूल, स्ट्रैपिंग के टुकड़े और रैप फ़िल्म नहीं है।</t>
        </is>
      </c>
      <c r="G34" s="45" t="inlineStr">
        <is>
          <t>फरशी स्वच्छ आहे – धूळ, स्ट्रॅपिंगचे तुकडे आणि रॅप फिल्म नाही.</t>
        </is>
      </c>
    </row>
    <row r="35" ht="27.75" customHeight="1">
      <c r="A35" s="2" t="n">
        <v>24</v>
      </c>
      <c r="B35" s="3" t="inlineStr">
        <is>
          <t>Batch coding heads / printers are clean; print quality is legible.</t>
        </is>
      </c>
      <c r="C35" s="11" t="n"/>
      <c r="D35" s="2">
        <f>IF(C35="Yes",2,0)</f>
        <v/>
      </c>
      <c r="E35" s="12" t="n"/>
      <c r="F35" s="45" t="inlineStr">
        <is>
          <t>बैच कोडिंग हेड / प्रिंटर साफ़ हैं; छपाई साफ़ पढ़ी जा सकती है।</t>
        </is>
      </c>
      <c r="G35" s="45" t="inlineStr">
        <is>
          <t>बॅच कोडिंग हेड / प्रिंटर स्वच्छ आहेत; छपाई स्पष्ट वाचता येते.</t>
        </is>
      </c>
    </row>
    <row r="36" ht="27.75" customHeight="1">
      <c r="A36" s="2" t="n">
        <v>25</v>
      </c>
      <c r="B36" s="3" t="inlineStr">
        <is>
          <t>Lighting at inspection / packing stations is adequate and clean.</t>
        </is>
      </c>
      <c r="C36" s="11" t="n"/>
      <c r="D36" s="2">
        <f>IF(C36="Yes",2,0)</f>
        <v/>
      </c>
      <c r="E36" s="12" t="n"/>
      <c r="F36" s="45" t="inlineStr">
        <is>
          <t>निरीक्षण / पैकिंग स्टेशनों पर रोशनी पर्याप्त है और फ़िटिंग साफ़ हैं।</t>
        </is>
      </c>
      <c r="G36" s="45" t="inlineStr">
        <is>
          <t>तपासणी / पॅकिंग स्टेशनवर प्रकाश पुरेसा आहे आणि फिटिंग स्वच्छ आहेत.</t>
        </is>
      </c>
    </row>
    <row r="37" ht="27.75" customHeight="1">
      <c r="A37" s="2" t="n">
        <v>26</v>
      </c>
      <c r="B37" s="3" t="inlineStr">
        <is>
          <t>Dustbins are provided, segregated and emptied regularly.</t>
        </is>
      </c>
      <c r="C37" s="11" t="n"/>
      <c r="D37" s="2">
        <f>IF(C37="Yes",2,0)</f>
        <v/>
      </c>
      <c r="E37" s="12" t="n"/>
      <c r="F37" s="45" t="inlineStr">
        <is>
          <t>कूड़ेदान उपलब्ध हैं, कचरा अलग-अलग डाला जाता है और नियमित रूप से खाली किए जाते हैं।</t>
        </is>
      </c>
      <c r="G37" s="45" t="inlineStr">
        <is>
          <t>कचराकुंड्या उपलब्ध आहेत, कचरा वेगवेगळा टाकला जातो आणि त्या नियमितपणे रिकाम्या केल्या जातात.</t>
        </is>
      </c>
    </row>
    <row r="38" ht="27.75" customHeight="1">
      <c r="A38" s="2" t="n">
        <v>27</v>
      </c>
      <c r="B38" s="3" t="inlineStr">
        <is>
          <t>Cleaning schedule for the packing area is displayed and followed.</t>
        </is>
      </c>
      <c r="C38" s="11" t="n"/>
      <c r="D38" s="2">
        <f>IF(C38="Yes",2,0)</f>
        <v/>
      </c>
      <c r="E38" s="12" t="n"/>
      <c r="F38" s="45" t="inlineStr">
        <is>
          <t>पैकिंग क्षेत्र का सफ़ाई शेड्यूल लगा है और उसका पालन होता है।</t>
        </is>
      </c>
      <c r="G38" s="45" t="inlineStr">
        <is>
          <t>पॅकिंग क्षेत्राचे स्वच्छता वेळापत्रक लावलेले आहे आणि त्याचे पालन होते.</t>
        </is>
      </c>
    </row>
    <row r="39" ht="27.75" customHeight="1">
      <c r="A39" s="2" t="n">
        <v>28</v>
      </c>
      <c r="B39" s="3" t="inlineStr">
        <is>
          <t>No pest / rodent signs in the packing area.</t>
        </is>
      </c>
      <c r="C39" s="11" t="n"/>
      <c r="D39" s="2">
        <f>IF(C39="Yes",2,0)</f>
        <v/>
      </c>
      <c r="E39" s="12" t="n"/>
      <c r="F39" s="45" t="inlineStr">
        <is>
          <t>पैकिंग क्षेत्र में कीड़ों / चूहों के कोई निशान नहीं हैं।</t>
        </is>
      </c>
      <c r="G39" s="45" t="inlineStr">
        <is>
          <t>पॅकिंग क्षेत्रात कीटक / उंदरांच्या खुणा नाहीत.</t>
        </is>
      </c>
    </row>
    <row r="40" ht="27.75" customHeight="1">
      <c r="A40" s="2" t="n">
        <v>29</v>
      </c>
      <c r="B40" s="3" t="inlineStr">
        <is>
          <t>Weighing equipment is clean and calibration stickers are valid.</t>
        </is>
      </c>
      <c r="C40" s="11" t="n"/>
      <c r="D40" s="2">
        <f>IF(C40="Yes",2,0)</f>
        <v/>
      </c>
      <c r="E40" s="12" t="n"/>
      <c r="F40" s="45" t="inlineStr">
        <is>
          <t>तौल उपकरण साफ़ हैं और कैलिब्रेशन स्टिकर वैध हैं।</t>
        </is>
      </c>
      <c r="G40" s="45" t="inlineStr">
        <is>
          <t>वजन उपकरणे स्वच्छ आहेत आणि कॅलिब्रेशन स्टिकर वैध आहेत.</t>
        </is>
      </c>
    </row>
    <row r="41" ht="27.75" customHeight="1">
      <c r="A41" s="2" t="n">
        <v>30</v>
      </c>
      <c r="B41" s="3" t="inlineStr">
        <is>
          <t>Line clearance includes cleaning verification between batch changeovers.</t>
        </is>
      </c>
      <c r="C41" s="11" t="n"/>
      <c r="D41" s="2">
        <f>IF(C41="Yes",2,0)</f>
        <v/>
      </c>
      <c r="E41" s="12" t="n"/>
      <c r="F41" s="45" t="inlineStr">
        <is>
          <t>बैच बदलते समय लाइन क्लीयरेंस में सफ़ाई का सत्यापन भी शामिल है।</t>
        </is>
      </c>
      <c r="G41" s="45" t="inlineStr">
        <is>
          <t>बॅच बदलताना लाईन क्लिअरन्समध्ये स्वच्छतेची पडताळणीही समाविष्ट आहे.</t>
        </is>
      </c>
    </row>
    <row r="42">
      <c r="A42" s="38" t="inlineStr">
        <is>
          <t>Sub-total 3S (out of 20)</t>
        </is>
      </c>
      <c r="B42" s="44" t="n"/>
      <c r="C42" s="43" t="n"/>
      <c r="D42" s="15">
        <f>SUM(D32:D41)</f>
        <v/>
      </c>
      <c r="E42" s="16" t="n"/>
      <c r="F42" s="16" t="n"/>
      <c r="G42" s="16" t="n"/>
    </row>
    <row r="43">
      <c r="A43" s="37" t="inlineStr">
        <is>
          <t>4S – SEIKETSU (STANDARDIZE)</t>
        </is>
      </c>
      <c r="B43" s="44" t="n"/>
      <c r="C43" s="44" t="n"/>
      <c r="D43" s="44" t="n"/>
      <c r="E43" s="43" t="n"/>
      <c r="F43" s="43" t="n"/>
      <c r="G43" s="43" t="n"/>
    </row>
    <row r="44" ht="27.75" customHeight="1">
      <c r="A44" s="2" t="n">
        <v>31</v>
      </c>
      <c r="B44" s="3" t="inlineStr">
        <is>
          <t>Packing standards with photographs / samples are displayed at the line.</t>
        </is>
      </c>
      <c r="C44" s="11" t="n"/>
      <c r="D44" s="2">
        <f>IF(C44="Yes",2,0)</f>
        <v/>
      </c>
      <c r="E44" s="12" t="n"/>
      <c r="F44" s="45" t="inlineStr">
        <is>
          <t>फ़ोटो / नमूनों के साथ पैकिंग मानक लाइन पर लगे हैं।</t>
        </is>
      </c>
      <c r="G44" s="45" t="inlineStr">
        <is>
          <t>फोटो / नमुन्यांसह पॅकिंग मानके लाईनवर लावलेली आहेत.</t>
        </is>
      </c>
    </row>
    <row r="45" ht="27.75" customHeight="1">
      <c r="A45" s="2" t="n">
        <v>32</v>
      </c>
      <c r="B45" s="3" t="inlineStr">
        <is>
          <t>Line clearance checklist and procedure are standardized and followed.</t>
        </is>
      </c>
      <c r="C45" s="11" t="n"/>
      <c r="D45" s="2">
        <f>IF(C45="Yes",2,0)</f>
        <v/>
      </c>
      <c r="E45" s="12" t="n"/>
      <c r="F45" s="45" t="inlineStr">
        <is>
          <t>लाइन क्लीयरेंस चेकलिस्ट और प्रक्रिया मानकीकृत हैं और उनका पालन होता है।</t>
        </is>
      </c>
      <c r="G45" s="45" t="inlineStr">
        <is>
          <t>लाईन क्लिअरन्स चेकलिस्ट आणि प्रक्रिया प्रमाणित आहेत आणि त्यांचे पालन होते.</t>
        </is>
      </c>
    </row>
    <row r="46" ht="27.75" customHeight="1">
      <c r="A46" s="2" t="n">
        <v>33</v>
      </c>
      <c r="B46" s="3" t="inlineStr">
        <is>
          <t>Standard for label control, reconciliation and destruction is defined.</t>
        </is>
      </c>
      <c r="C46" s="11" t="n"/>
      <c r="D46" s="2">
        <f>IF(C46="Yes",2,0)</f>
        <v/>
      </c>
      <c r="E46" s="12" t="n"/>
      <c r="F46" s="45" t="inlineStr">
        <is>
          <t>लेबल नियंत्रण, हिसाब मिलान और नष्ट करने का मानक तय है।</t>
        </is>
      </c>
      <c r="G46" s="45" t="inlineStr">
        <is>
          <t>लेबल नियंत्रण, हिशोब जुळवणे आणि नष्ट करणे याचे मानक ठरलेले आहे.</t>
        </is>
      </c>
    </row>
    <row r="47" ht="27.75" customHeight="1">
      <c r="A47" s="2" t="n">
        <v>34</v>
      </c>
      <c r="B47" s="3" t="inlineStr">
        <is>
          <t>Colour codes for bins and status tags are standardized.</t>
        </is>
      </c>
      <c r="C47" s="11" t="n"/>
      <c r="D47" s="2">
        <f>IF(C47="Yes",2,0)</f>
        <v/>
      </c>
      <c r="E47" s="12" t="n"/>
      <c r="F47" s="45" t="inlineStr">
        <is>
          <t>बिनों और स्थिति टैग के कलर-कोड एक समान (मानकीकृत) हैं।</t>
        </is>
      </c>
      <c r="G47" s="45" t="inlineStr">
        <is>
          <t>बिन आणि स्थिती टॅगचे कलर-कोड एकसारखे (प्रमाणित) आहेत.</t>
        </is>
      </c>
    </row>
    <row r="48" ht="27.75" customHeight="1">
      <c r="A48" s="2" t="n">
        <v>35</v>
      </c>
      <c r="B48" s="3" t="inlineStr">
        <is>
          <t>Standard packing material quantities (BOM) are displayed for each SKU.</t>
        </is>
      </c>
      <c r="C48" s="11" t="n"/>
      <c r="D48" s="2">
        <f>IF(C48="Yes",2,0)</f>
        <v/>
      </c>
      <c r="E48" s="12" t="n"/>
      <c r="F48" s="45" t="inlineStr">
        <is>
          <t>हर SKU के लिए पैकिंग सामग्री की मानक मात्रा (BOM) लगी है।</t>
        </is>
      </c>
      <c r="G48" s="45" t="inlineStr">
        <is>
          <t>प्रत्येक SKU साठी पॅकिंग साहित्याचे प्रमाणित प्रमाण (BOM) लावलेले आहे.</t>
        </is>
      </c>
    </row>
    <row r="49" ht="27.75" customHeight="1">
      <c r="A49" s="2" t="n">
        <v>36</v>
      </c>
      <c r="B49" s="3" t="inlineStr">
        <is>
          <t>Safety signage and PPE requirements are displayed and followed.</t>
        </is>
      </c>
      <c r="C49" s="11" t="n"/>
      <c r="D49" s="2">
        <f>IF(C49="Yes",2,0)</f>
        <v/>
      </c>
      <c r="E49" s="12" t="n"/>
      <c r="F49" s="45" t="inlineStr">
        <is>
          <t>सुरक्षा साइनबोर्ड और PPE आवश्यकताएँ लगी हैं और उनका पालन होता है।</t>
        </is>
      </c>
      <c r="G49" s="45" t="inlineStr">
        <is>
          <t>सुरक्षा फलक आणि PPE आवश्यकता लावलेल्या आहेत आणि त्यांचे पालन होते.</t>
        </is>
      </c>
    </row>
    <row r="50" ht="27.75" customHeight="1">
      <c r="A50" s="2" t="n">
        <v>37</v>
      </c>
      <c r="B50" s="3" t="inlineStr">
        <is>
          <t>Standard formats for packing records / batch records are in use.</t>
        </is>
      </c>
      <c r="C50" s="11" t="n"/>
      <c r="D50" s="2">
        <f>IF(C50="Yes",2,0)</f>
        <v/>
      </c>
      <c r="E50" s="12" t="n"/>
      <c r="F50" s="45" t="inlineStr">
        <is>
          <t>पैकिंग रिकॉर्ड / बैच रिकॉर्ड के मानक फ़ॉर्मेट उपयोग में हैं।</t>
        </is>
      </c>
      <c r="G50" s="45" t="inlineStr">
        <is>
          <t>पॅकिंग नोंदी / बॅच नोंदींचे प्रमाणित फॉरमॅट वापरात आहेत.</t>
        </is>
      </c>
    </row>
    <row r="51" ht="27.75" customHeight="1">
      <c r="A51" s="2" t="n">
        <v>38</v>
      </c>
      <c r="B51" s="3" t="inlineStr">
        <is>
          <t>Rework / repacking standard is documented and followed.</t>
        </is>
      </c>
      <c r="C51" s="11" t="n"/>
      <c r="D51" s="2">
        <f>IF(C51="Yes",2,0)</f>
        <v/>
      </c>
      <c r="E51" s="12" t="n"/>
      <c r="F51" s="45" t="inlineStr">
        <is>
          <t>रीवर्क / दोबारा पैकिंग का मानक लिखित है और उसका पालन होता है।</t>
        </is>
      </c>
      <c r="G51" s="45" t="inlineStr">
        <is>
          <t>रीवर्क / पुन्हा पॅकिंगचे मानक लिखित आहे आणि त्याचे पालन होते.</t>
        </is>
      </c>
    </row>
    <row r="52" ht="27.75" customHeight="1">
      <c r="A52" s="2" t="n">
        <v>39</v>
      </c>
      <c r="B52" s="3" t="inlineStr">
        <is>
          <t>5S checklists for the packing area are filled regularly.</t>
        </is>
      </c>
      <c r="C52" s="11" t="n"/>
      <c r="D52" s="2">
        <f>IF(C52="Yes",2,0)</f>
        <v/>
      </c>
      <c r="E52" s="12" t="n"/>
      <c r="F52" s="45" t="inlineStr">
        <is>
          <t>पैकिंग क्षेत्र की 5S चेकलिस्ट नियमित रूप से भरी जाती हैं।</t>
        </is>
      </c>
      <c r="G52" s="45" t="inlineStr">
        <is>
          <t>पॅकिंग क्षेत्राच्या 5S चेकलिस्ट नियमितपणे भरल्या जातात.</t>
        </is>
      </c>
    </row>
    <row r="53" ht="27.75" customHeight="1">
      <c r="A53" s="2" t="n">
        <v>40</v>
      </c>
      <c r="B53" s="3" t="inlineStr">
        <is>
          <t>5S board with audit scores and improvements is maintained.</t>
        </is>
      </c>
      <c r="C53" s="11" t="n"/>
      <c r="D53" s="2">
        <f>IF(C53="Yes",2,0)</f>
        <v/>
      </c>
      <c r="E53" s="12" t="n"/>
      <c r="F53" s="45" t="inlineStr">
        <is>
          <t>ऑडिट स्कोर और सुधारों वाला 5S बोर्ड बनाए रखा गया है।</t>
        </is>
      </c>
      <c r="G53" s="45" t="inlineStr">
        <is>
          <t>ऑडिट स्कोअर आणि सुधारणांसह 5S फलक अद्ययावत ठेवला आहे.</t>
        </is>
      </c>
    </row>
    <row r="54">
      <c r="A54" s="38" t="inlineStr">
        <is>
          <t>Sub-total 4S (out of 20)</t>
        </is>
      </c>
      <c r="B54" s="44" t="n"/>
      <c r="C54" s="43" t="n"/>
      <c r="D54" s="15">
        <f>SUM(D44:D53)</f>
        <v/>
      </c>
      <c r="E54" s="16" t="n"/>
      <c r="F54" s="16" t="n"/>
      <c r="G54" s="16" t="n"/>
    </row>
    <row r="55">
      <c r="A55" s="37" t="inlineStr">
        <is>
          <t>5S – SHITSUKE (SUSTAIN)</t>
        </is>
      </c>
      <c r="B55" s="44" t="n"/>
      <c r="C55" s="44" t="n"/>
      <c r="D55" s="44" t="n"/>
      <c r="E55" s="43" t="n"/>
      <c r="F55" s="43" t="n"/>
      <c r="G55" s="43" t="n"/>
    </row>
    <row r="56" ht="27.75" customHeight="1">
      <c r="A56" s="2" t="n">
        <v>41</v>
      </c>
      <c r="B56" s="3" t="inlineStr">
        <is>
          <t>Packing staff are trained in 5S, line clearance and label control.</t>
        </is>
      </c>
      <c r="C56" s="11" t="n"/>
      <c r="D56" s="2">
        <f>IF(C56="Yes",2,0)</f>
        <v/>
      </c>
      <c r="E56" s="12" t="n"/>
      <c r="F56" s="45" t="inlineStr">
        <is>
          <t>पैकिंग कर्मचारी 5S, लाइन क्लीयरेंस और लेबल नियंत्रण में प्रशिक्षित हैं।</t>
        </is>
      </c>
      <c r="G56" s="45" t="inlineStr">
        <is>
          <t>पॅकिंग कर्मचारी 5S, लाईन क्लिअरन्स आणि लेबल नियंत्रणात प्रशिक्षित आहेत.</t>
        </is>
      </c>
    </row>
    <row r="57" ht="27.75" customHeight="1">
      <c r="A57" s="2" t="n">
        <v>42</v>
      </c>
      <c r="B57" s="3" t="inlineStr">
        <is>
          <t>Line clearance discipline is followed at every changeover without fail.</t>
        </is>
      </c>
      <c r="C57" s="11" t="n"/>
      <c r="D57" s="2">
        <f>IF(C57="Yes",2,0)</f>
        <v/>
      </c>
      <c r="E57" s="12" t="n"/>
      <c r="F57" s="45" t="inlineStr">
        <is>
          <t>हर बदलाव (चेंजओवर) पर बिना चूके लाइन क्लीयरेंस अनुशासन का पालन होता है।</t>
        </is>
      </c>
      <c r="G57" s="45" t="inlineStr">
        <is>
          <t>प्रत्येक बदलावेळी (चेंजओव्हर) न चुकता लाईन क्लिअरन्सची शिस्त पाळली जाते.</t>
        </is>
      </c>
    </row>
    <row r="58" ht="27.75" customHeight="1">
      <c r="A58" s="2" t="n">
        <v>43</v>
      </c>
      <c r="B58" s="3" t="inlineStr">
        <is>
          <t>5S audits are conducted as per schedule.</t>
        </is>
      </c>
      <c r="C58" s="11" t="n"/>
      <c r="D58" s="2">
        <f>IF(C58="Yes",2,0)</f>
        <v/>
      </c>
      <c r="E58" s="12" t="n"/>
      <c r="F58" s="45" t="inlineStr">
        <is>
          <t>5S ऑडिट शेड्यूल के अनुसार होते हैं।</t>
        </is>
      </c>
      <c r="G58" s="45" t="inlineStr">
        <is>
          <t>5S ऑडिट वेळापत्रकानुसार होतात.</t>
        </is>
      </c>
    </row>
    <row r="59" ht="27.75" customHeight="1">
      <c r="A59" s="2" t="n">
        <v>44</v>
      </c>
      <c r="B59" s="3" t="inlineStr">
        <is>
          <t>Previous audit non-conformities are closed on time.</t>
        </is>
      </c>
      <c r="C59" s="11" t="n"/>
      <c r="D59" s="2">
        <f>IF(C59="Yes",2,0)</f>
        <v/>
      </c>
      <c r="E59" s="12" t="n"/>
      <c r="F59" s="45" t="inlineStr">
        <is>
          <t>पिछले ऑडिट की कमियाँ समय पर दूर की जाती हैं।</t>
        </is>
      </c>
      <c r="G59" s="45" t="inlineStr">
        <is>
          <t>मागील ऑडिटमधील त्रुटी वेळेत दूर केल्या जातात.</t>
        </is>
      </c>
    </row>
    <row r="60" ht="27.75" customHeight="1">
      <c r="A60" s="2" t="n">
        <v>45</v>
      </c>
      <c r="B60" s="3" t="inlineStr">
        <is>
          <t>Packing material reconciliation is done for every batch on time.</t>
        </is>
      </c>
      <c r="C60" s="11" t="n"/>
      <c r="D60" s="2">
        <f>IF(C60="Yes",2,0)</f>
        <v/>
      </c>
      <c r="E60" s="12" t="n"/>
      <c r="F60" s="45" t="inlineStr">
        <is>
          <t>हर बैच की पैकिंग सामग्री का हिसाब समय पर मिलाया जाता है।</t>
        </is>
      </c>
      <c r="G60" s="45" t="inlineStr">
        <is>
          <t>प्रत्येक बॅचच्या पॅकिंग साहित्याचा हिशोब वेळेत जुळवला जातो.</t>
        </is>
      </c>
    </row>
    <row r="61" ht="27.75" customHeight="1">
      <c r="A61" s="2" t="n">
        <v>46</v>
      </c>
      <c r="B61" s="3" t="inlineStr">
        <is>
          <t>Records are filled online (real time), not backfilled.</t>
        </is>
      </c>
      <c r="C61" s="11" t="n"/>
      <c r="D61" s="2">
        <f>IF(C61="Yes",2,0)</f>
        <v/>
      </c>
      <c r="E61" s="12" t="n"/>
      <c r="F61" s="45" t="inlineStr">
        <is>
          <t>रिकॉर्ड काम के साथ-साथ उसी समय भरे जाते हैं, बाद में पीछे की तारीख़ से नहीं।</t>
        </is>
      </c>
      <c r="G61" s="45" t="inlineStr">
        <is>
          <t>नोंदी काम सुरू असतानाच त्याच वेळी भरल्या जातात, नंतर मागील तारखेने नाहीत.</t>
        </is>
      </c>
    </row>
    <row r="62" ht="27.75" customHeight="1">
      <c r="A62" s="2" t="n">
        <v>47</v>
      </c>
      <c r="B62" s="3" t="inlineStr">
        <is>
          <t>Workplace discipline is maintained during peak dispatch pressure.</t>
        </is>
      </c>
      <c r="C62" s="11" t="n"/>
      <c r="D62" s="2">
        <f>IF(C62="Yes",2,0)</f>
        <v/>
      </c>
      <c r="E62" s="12" t="n"/>
      <c r="F62" s="45" t="inlineStr">
        <is>
          <t>डिस्पैच के सबसे ज़्यादा दबाव के समय भी कार्यस्थल का अनुशासन बना रहता है।</t>
        </is>
      </c>
      <c r="G62" s="45" t="inlineStr">
        <is>
          <t>डिस्पॅचचा सर्वाधिक ताण असतानाही कामाच्या ठिकाणची शिस्त टिकून राहते.</t>
        </is>
      </c>
    </row>
    <row r="63" ht="27.75" customHeight="1">
      <c r="A63" s="2" t="n">
        <v>48</v>
      </c>
      <c r="B63" s="3" t="inlineStr">
        <is>
          <t>Suggestions / kaizens from packing staff are generated and implemented.</t>
        </is>
      </c>
      <c r="C63" s="11" t="n"/>
      <c r="D63" s="2">
        <f>IF(C63="Yes",2,0)</f>
        <v/>
      </c>
      <c r="E63" s="12" t="n"/>
      <c r="F63" s="45" t="inlineStr">
        <is>
          <t>पैकिंग कर्मचारियों से सुझाव / काइज़ेन आते हैं और लागू किए जाते हैं।</t>
        </is>
      </c>
      <c r="G63" s="45" t="inlineStr">
        <is>
          <t>पॅकिंग कर्मचाऱ्यांकडून सूचना / कायझेन येतात आणि अंमलात आणल्या जातात.</t>
        </is>
      </c>
    </row>
    <row r="64" ht="27.75" customHeight="1">
      <c r="A64" s="2" t="n">
        <v>49</v>
      </c>
      <c r="B64" s="3" t="inlineStr">
        <is>
          <t>Supervisors verify 5S condition at every shift start.</t>
        </is>
      </c>
      <c r="C64" s="11" t="n"/>
      <c r="D64" s="2">
        <f>IF(C64="Yes",2,0)</f>
        <v/>
      </c>
      <c r="E64" s="12" t="n"/>
      <c r="F64" s="45" t="inlineStr">
        <is>
          <t>सुपरवाइज़र हर शिफ़्ट की शुरुआत में 5S स्थिति की जाँच करते हैं।</t>
        </is>
      </c>
      <c r="G64" s="45" t="inlineStr">
        <is>
          <t>सुपरवायझर प्रत्येक शिफ्टच्या सुरुवातीला 5S स्थिती तपासतात.</t>
        </is>
      </c>
    </row>
    <row r="65" ht="27.75" customHeight="1">
      <c r="A65" s="2" t="n">
        <v>50</v>
      </c>
      <c r="B65" s="3" t="inlineStr">
        <is>
          <t>Packing area 5S score trend is stable or improving over the last 3 audits.</t>
        </is>
      </c>
      <c r="C65" s="11" t="n"/>
      <c r="D65" s="2">
        <f>IF(C65="Yes",2,0)</f>
        <v/>
      </c>
      <c r="E65" s="12" t="n"/>
      <c r="F65" s="45" t="inlineStr">
        <is>
          <t>पिछले 3 ऑडिट में पैकिंग क्षेत्र का 5S स्कोर स्थिर है या बेहतर हो रहा है।</t>
        </is>
      </c>
      <c r="G65" s="45" t="inlineStr">
        <is>
          <t>मागील 3 ऑडिटमध्ये पॅकिंग क्षेत्राचा 5S स्कोअर स्थिर आहे किंवा सुधारत आहे.</t>
        </is>
      </c>
    </row>
    <row r="66">
      <c r="A66" s="38" t="inlineStr">
        <is>
          <t>Sub-total 5S (out of 20)</t>
        </is>
      </c>
      <c r="B66" s="44" t="n"/>
      <c r="C66" s="43" t="n"/>
      <c r="D66" s="15">
        <f>SUM(D56:D65)</f>
        <v/>
      </c>
      <c r="E66" s="16" t="n"/>
      <c r="F66" s="16" t="n"/>
      <c r="G66" s="16" t="n"/>
    </row>
    <row r="67">
      <c r="A67" s="39" t="inlineStr">
        <is>
          <t>TOTAL SCORE (out of 100)</t>
        </is>
      </c>
      <c r="B67" s="44" t="n"/>
      <c r="C67" s="43" t="n"/>
      <c r="D67" s="17">
        <f>D18+D30+D42+D54+D66</f>
        <v/>
      </c>
      <c r="E67" s="10" t="n"/>
      <c r="F67" s="10" t="n"/>
      <c r="G67" s="10" t="n"/>
    </row>
    <row r="68">
      <c r="A68" s="40" t="inlineStr">
        <is>
          <t>PERCENTAGE</t>
        </is>
      </c>
      <c r="B68" s="44" t="n"/>
      <c r="C68" s="43" t="n"/>
      <c r="D68" s="18">
        <f>D67/100</f>
        <v/>
      </c>
      <c r="E68" s="19" t="n"/>
      <c r="F68" s="19" t="n"/>
      <c r="G68" s="19" t="n"/>
    </row>
    <row r="69">
      <c r="A69" s="40" t="inlineStr">
        <is>
          <t>RATING</t>
        </is>
      </c>
      <c r="B69" s="44" t="n"/>
      <c r="C69" s="43" t="n"/>
      <c r="D69" s="21">
        <f>IF(D68&gt;=0.9,"Outstanding",IF(D68&gt;=0.75,"On Track",IF(D68&gt;=0.6,"Improving","Needs Support")))</f>
        <v/>
      </c>
      <c r="E69" s="19" t="n"/>
      <c r="F69" s="19" t="n"/>
      <c r="G69" s="19" t="n"/>
    </row>
    <row r="70"/>
    <row r="71">
      <c r="A71" s="36" t="inlineStr">
        <is>
          <t>Rating scale:  ≥ 90% Outstanding  |  75–89% On Track  |  60–74% Improving  |  &lt; 60% Needs Support.  Points scored 'No' must be entered in the corrective action tracker.</t>
        </is>
      </c>
    </row>
    <row r="72"/>
    <row r="73">
      <c r="B73" s="20" t="inlineStr">
        <is>
          <t>Auditor Signature: ______________________</t>
        </is>
      </c>
      <c r="E73" s="20" t="inlineStr">
        <is>
          <t>Area Owner Signature: ______________________</t>
        </is>
      </c>
      <c r="F73" s="20" t="n"/>
      <c r="G73" s="20" t="n"/>
    </row>
    <row r="74">
      <c r="A74" s="22" t="inlineStr">
        <is>
          <t>Prepared by AB Associates, Nashik.</t>
        </is>
      </c>
    </row>
  </sheetData>
  <mergeCells count="16">
    <mergeCell ref="A42:C42"/>
    <mergeCell ref="A55:E55"/>
    <mergeCell ref="A68:C68"/>
    <mergeCell ref="A66:C66"/>
    <mergeCell ref="A43:E43"/>
    <mergeCell ref="A7:E7"/>
    <mergeCell ref="A19:E19"/>
    <mergeCell ref="A71:E71"/>
    <mergeCell ref="A18:C18"/>
    <mergeCell ref="A67:C67"/>
    <mergeCell ref="A1:E1"/>
    <mergeCell ref="A30:C30"/>
    <mergeCell ref="A69:C69"/>
    <mergeCell ref="A31:E31"/>
    <mergeCell ref="A54:C54"/>
    <mergeCell ref="E2:E4"/>
  </mergeCells>
  <dataValidations count="1">
    <dataValidation sqref="C8:C17 C20:C29 C32:C41 C44:C53 C56:C65" showDropDown="0" showInputMessage="0" showErrorMessage="1" allowBlank="1" errorTitle="Invalid entry" error="Please select Yes or No" type="list">
      <formula1>"Yes,No"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topLeftCell="A63" zoomScaleNormal="100" workbookViewId="0">
      <selection activeCell="A74" sqref="A74"/>
    </sheetView>
  </sheetViews>
  <sheetFormatPr baseColWidth="8" defaultColWidth="8.5703125" defaultRowHeight="15"/>
  <cols>
    <col width="6" customWidth="1" min="1" max="1"/>
    <col width="68" customWidth="1" min="2" max="2"/>
    <col width="12" customWidth="1" min="3" max="3"/>
    <col width="9" customWidth="1" min="4" max="4"/>
    <col width="32" customWidth="1" min="5" max="5"/>
    <col width="60" customWidth="1" min="6" max="6"/>
    <col width="60" customWidth="1" min="7" max="7"/>
  </cols>
  <sheetData>
    <row r="1" ht="25.5" customHeight="1">
      <c r="A1" s="29" t="inlineStr">
        <is>
          <t>5S AUDIT CHECK SHEET – BOILER &amp; UTILITY</t>
        </is>
      </c>
    </row>
    <row r="2" ht="15" customHeight="1">
      <c r="A2" s="14" t="inlineStr">
        <is>
          <t>Company:</t>
        </is>
      </c>
      <c r="B2" s="13" t="n"/>
      <c r="C2" s="14" t="inlineStr">
        <is>
          <t>Audit Date:</t>
        </is>
      </c>
      <c r="D2" s="13" t="n"/>
      <c r="E2" s="41" t="inlineStr">
        <is>
          <t>Scoring: Yes = 2 marks, No = 0 marks.
Max score = 100.</t>
        </is>
      </c>
    </row>
    <row r="3">
      <c r="A3" s="14" t="inlineStr">
        <is>
          <t>Area / Dept.:</t>
        </is>
      </c>
      <c r="B3" s="13" t="inlineStr">
        <is>
          <t>Boiler &amp; Utility</t>
        </is>
      </c>
      <c r="C3" s="14" t="inlineStr">
        <is>
          <t>Auditor Name:</t>
        </is>
      </c>
      <c r="D3" s="13" t="n"/>
    </row>
    <row r="4">
      <c r="A4" s="14" t="inlineStr">
        <is>
          <t>Shift:</t>
        </is>
      </c>
      <c r="B4" s="13" t="n"/>
      <c r="C4" s="14" t="inlineStr">
        <is>
          <t>Auditee / Area Owner:</t>
        </is>
      </c>
      <c r="D4" s="13" t="n"/>
    </row>
    <row r="5"/>
    <row r="6" ht="19.5" customHeight="1">
      <c r="A6" s="1" t="inlineStr">
        <is>
          <t>Sr.</t>
        </is>
      </c>
      <c r="B6" s="1" t="inlineStr">
        <is>
          <t>Check Point</t>
        </is>
      </c>
      <c r="C6" s="1" t="inlineStr">
        <is>
          <t>Yes / No</t>
        </is>
      </c>
      <c r="D6" s="1" t="inlineStr">
        <is>
          <t>Marks</t>
        </is>
      </c>
      <c r="E6" s="1" t="inlineStr">
        <is>
          <t>Remarks / Observations</t>
        </is>
      </c>
      <c r="F6" s="1" t="inlineStr">
        <is>
          <t>Check Point (Hindi)</t>
        </is>
      </c>
      <c r="G6" s="1" t="inlineStr">
        <is>
          <t>Check Point (Marathi)</t>
        </is>
      </c>
    </row>
    <row r="7">
      <c r="A7" s="37" t="inlineStr">
        <is>
          <t>1S – SEIRI (SORT)</t>
        </is>
      </c>
      <c r="B7" s="44" t="n"/>
      <c r="C7" s="44" t="n"/>
      <c r="D7" s="44" t="n"/>
      <c r="E7" s="43" t="n"/>
      <c r="F7" s="43" t="n"/>
      <c r="G7" s="43" t="n"/>
    </row>
    <row r="8" ht="27.75" customHeight="1">
      <c r="A8" s="2" t="n">
        <v>1</v>
      </c>
      <c r="B8" s="3" t="inlineStr">
        <is>
          <t>Only required tools, spares and consumables are kept in the boiler / utility area.</t>
        </is>
      </c>
      <c r="C8" s="11" t="n"/>
      <c r="D8" s="2">
        <f>IF(C8="Yes",2,0)</f>
        <v/>
      </c>
      <c r="E8" s="12" t="n"/>
      <c r="F8" s="45" t="inlineStr">
        <is>
          <t>बॉयलर / यूटिलिटी क्षेत्र में केवल ज़रूरी औज़ार, स्पेयर और उपभोग्य सामान रखे हैं।</t>
        </is>
      </c>
      <c r="G8" s="45" t="inlineStr">
        <is>
          <t>बॉयलर / युटिलिटी क्षेत्रात फक्त आवश्यक टूल्स, स्पेअर आणि कंझ्युमेबल्स ठेवलेले आहेत.</t>
        </is>
      </c>
    </row>
    <row r="9" ht="27.75" customHeight="1">
      <c r="A9" s="2" t="n">
        <v>2</v>
      </c>
      <c r="B9" s="3" t="inlineStr">
        <is>
          <t>Scrapped valves, pipes, insulation and fittings are removed; not lying around.</t>
        </is>
      </c>
      <c r="C9" s="11" t="n"/>
      <c r="D9" s="2">
        <f>IF(C9="Yes",2,0)</f>
        <v/>
      </c>
      <c r="E9" s="12" t="n"/>
      <c r="F9" s="45" t="inlineStr">
        <is>
          <t>स्क्रैप हुए वाल्व, पाइप, इंसुलेशन और फ़िटिंग हटा दिए गए हैं; इधर-उधर नहीं पड़े हैं।</t>
        </is>
      </c>
      <c r="G9" s="45" t="inlineStr">
        <is>
          <t>स्क्रॅप झालेले व्हॉल्व्ह, पाईप, इन्सुलेशन आणि फिटिंग काढून टाकले आहेत; इकडे-तिकडे पडलेले नाहीत.</t>
        </is>
      </c>
    </row>
    <row r="10" ht="27.75" customHeight="1">
      <c r="A10" s="2" t="n">
        <v>3</v>
      </c>
      <c r="B10" s="3" t="inlineStr">
        <is>
          <t>Fuel (coal / briquette / oil) storage is within demarcated limits; no scattering.</t>
        </is>
      </c>
      <c r="C10" s="11" t="n"/>
      <c r="D10" s="2">
        <f>IF(C10="Yes",2,0)</f>
        <v/>
      </c>
      <c r="E10" s="12" t="n"/>
      <c r="F10" s="45" t="inlineStr">
        <is>
          <t>ईंधन (कोयला / ब्रिकेट / तेल) का भंडारण चिह्नित सीमा के भीतर है; इधर-उधर बिखरा नहीं है।</t>
        </is>
      </c>
      <c r="G10" s="45" t="inlineStr">
        <is>
          <t>इंधनाची (कोळसा / ब्रिकेट / तेल) साठवण आखलेल्या मर्यादेच्या आत आहे; इकडे-तिकडे विखुरलेले नाही.</t>
        </is>
      </c>
    </row>
    <row r="11" ht="27.75" customHeight="1">
      <c r="A11" s="2" t="n">
        <v>4</v>
      </c>
      <c r="B11" s="3" t="inlineStr">
        <is>
          <t>Ash / residue is collected and disposed at defined frequency; no accumulation.</t>
        </is>
      </c>
      <c r="C11" s="11" t="n"/>
      <c r="D11" s="2">
        <f>IF(C11="Yes",2,0)</f>
        <v/>
      </c>
      <c r="E11" s="12" t="n"/>
      <c r="F11" s="45" t="inlineStr">
        <is>
          <t>राख / अवशेष तय अंतराल पर इकट्ठा करके हटाया जाता है; जमा नहीं होता।</t>
        </is>
      </c>
      <c r="G11" s="45" t="inlineStr">
        <is>
          <t>राख / अवशेष ठरलेल्या अंतराने गोळा करून हटवले जातात; साचत नाहीत.</t>
        </is>
      </c>
    </row>
    <row r="12" ht="27.75" customHeight="1">
      <c r="A12" s="2" t="n">
        <v>5</v>
      </c>
      <c r="B12" s="3" t="inlineStr">
        <is>
          <t>Empty chemical containers and oil drums are removed and stored safely.</t>
        </is>
      </c>
      <c r="C12" s="11" t="n"/>
      <c r="D12" s="2">
        <f>IF(C12="Yes",2,0)</f>
        <v/>
      </c>
      <c r="E12" s="12" t="n"/>
      <c r="F12" s="45" t="inlineStr">
        <is>
          <t>खाली रसायन के डिब्बे और तेल के ड्रम हटाकर सुरक्षित रूप से रखे जाते हैं।</t>
        </is>
      </c>
      <c r="G12" s="45" t="inlineStr">
        <is>
          <t>रसायनांचे रिकामे डबे आणि तेलाचे ड्रम काढून सुरक्षितपणे ठेवले जातात.</t>
        </is>
      </c>
    </row>
    <row r="13" ht="27.75" customHeight="1">
      <c r="A13" s="2" t="n">
        <v>6</v>
      </c>
      <c r="B13" s="3" t="inlineStr">
        <is>
          <t>Obsolete gauges, instruments and panels are removed from the area.</t>
        </is>
      </c>
      <c r="C13" s="11" t="n"/>
      <c r="D13" s="2">
        <f>IF(C13="Yes",2,0)</f>
        <v/>
      </c>
      <c r="E13" s="12" t="n"/>
      <c r="F13" s="45" t="inlineStr">
        <is>
          <t>पुराने (अब उपयोग में न आने वाले) गेज, उपकरण और पैनल क्षेत्र से हटा दिए गए हैं।</t>
        </is>
      </c>
      <c r="G13" s="45" t="inlineStr">
        <is>
          <t>कालबाह्य (आता न वापरले जाणारे) गेज, उपकरणे आणि पॅनल क्षेत्रातून काढून टाकले आहेत.</t>
        </is>
      </c>
    </row>
    <row r="14" ht="27.75" customHeight="1">
      <c r="A14" s="2" t="n">
        <v>7</v>
      </c>
      <c r="B14" s="3" t="inlineStr">
        <is>
          <t>No unwanted combustible material is stored near the boiler.</t>
        </is>
      </c>
      <c r="C14" s="11" t="n"/>
      <c r="D14" s="2">
        <f>IF(C14="Yes",2,0)</f>
        <v/>
      </c>
      <c r="E14" s="12" t="n"/>
      <c r="F14" s="45" t="inlineStr">
        <is>
          <t>बॉयलर के पास कोई अनावश्यक ज्वलनशील सामग्री नहीं रखी है।</t>
        </is>
      </c>
      <c r="G14" s="45" t="inlineStr">
        <is>
          <t>बॉयलरजवळ कोणतेही अनावश्यक ज्वलनशील साहित्य ठेवलेले नाही.</t>
        </is>
      </c>
    </row>
    <row r="15" ht="27.75" customHeight="1">
      <c r="A15" s="2" t="n">
        <v>8</v>
      </c>
      <c r="B15" s="3" t="inlineStr">
        <is>
          <t>Only current-version log sheets and SOPs are in use.</t>
        </is>
      </c>
      <c r="C15" s="11" t="n"/>
      <c r="D15" s="2">
        <f>IF(C15="Yes",2,0)</f>
        <v/>
      </c>
      <c r="E15" s="12" t="n"/>
      <c r="F15" s="45" t="inlineStr">
        <is>
          <t>केवल वर्तमान संस्करण की लॉग शीट और SOP उपयोग में हैं।</t>
        </is>
      </c>
      <c r="G15" s="45" t="inlineStr">
        <is>
          <t>फक्त चालू आवृत्तीच्या लॉग शीट आणि SOP वापरात आहेत.</t>
        </is>
      </c>
    </row>
    <row r="16" ht="27.75" customHeight="1">
      <c r="A16" s="2" t="n">
        <v>9</v>
      </c>
      <c r="B16" s="3" t="inlineStr">
        <is>
          <t>A red-tag area is defined and cleared within the time limit.</t>
        </is>
      </c>
      <c r="C16" s="11" t="n"/>
      <c r="D16" s="2">
        <f>IF(C16="Yes",2,0)</f>
        <v/>
      </c>
      <c r="E16" s="12" t="n"/>
      <c r="F16" s="45" t="inlineStr">
        <is>
          <t>रेड-टैग क्षेत्र तय है और समय-सीमा के भीतर खाली किया जाता है।</t>
        </is>
      </c>
      <c r="G16" s="45" t="inlineStr">
        <is>
          <t>रेड-टॅग क्षेत्र ठरलेले आहे आणि ठरलेल्या वेळेत रिकामे केले जाते.</t>
        </is>
      </c>
    </row>
    <row r="17" ht="27.75" customHeight="1">
      <c r="A17" s="2" t="n">
        <v>10</v>
      </c>
      <c r="B17" s="3" t="inlineStr">
        <is>
          <t>No personal items in the boiler / utility room.</t>
        </is>
      </c>
      <c r="C17" s="11" t="n"/>
      <c r="D17" s="2">
        <f>IF(C17="Yes",2,0)</f>
        <v/>
      </c>
      <c r="E17" s="12" t="n"/>
      <c r="F17" s="45" t="inlineStr">
        <is>
          <t>बॉयलर / यूटिलिटी रूम में कोई निजी सामान नहीं है।</t>
        </is>
      </c>
      <c r="G17" s="45" t="inlineStr">
        <is>
          <t>बॉयलर / युटिलिटी रूममध्ये कोणतेही वैयक्तिक सामान नाही.</t>
        </is>
      </c>
    </row>
    <row r="18">
      <c r="A18" s="38" t="inlineStr">
        <is>
          <t>Sub-total 1S (out of 20)</t>
        </is>
      </c>
      <c r="B18" s="44" t="n"/>
      <c r="C18" s="43" t="n"/>
      <c r="D18" s="15">
        <f>SUM(D8:D17)</f>
        <v/>
      </c>
      <c r="E18" s="16" t="n"/>
      <c r="F18" s="16" t="n"/>
      <c r="G18" s="16" t="n"/>
    </row>
    <row r="19">
      <c r="A19" s="37" t="inlineStr">
        <is>
          <t>2S – SEITON (SET IN ORDER)</t>
        </is>
      </c>
      <c r="B19" s="44" t="n"/>
      <c r="C19" s="44" t="n"/>
      <c r="D19" s="44" t="n"/>
      <c r="E19" s="43" t="n"/>
      <c r="F19" s="43" t="n"/>
      <c r="G19" s="43" t="n"/>
    </row>
    <row r="20" ht="27.75" customHeight="1">
      <c r="A20" s="2" t="n">
        <v>11</v>
      </c>
      <c r="B20" s="3" t="inlineStr">
        <is>
          <t>All pipelines are colour-coded and labelled with content and flow direction.</t>
        </is>
      </c>
      <c r="C20" s="11" t="n"/>
      <c r="D20" s="2">
        <f>IF(C20="Yes",2,0)</f>
        <v/>
      </c>
      <c r="E20" s="12" t="n"/>
      <c r="F20" s="45" t="inlineStr">
        <is>
          <t>सभी पाइपलाइनें कलर-कोड वाली हैं और उन पर अंदर बहने वाली चीज़ और बहाव की दिशा का लेबल लगा है।</t>
        </is>
      </c>
      <c r="G20" s="45" t="inlineStr">
        <is>
          <t>सर्व पाइपलाइन कलर-कोड असलेल्या आहेत आणि त्यांवर आतून वाहणारा पदार्थ व प्रवाहाची दिशा यांचे लेबल लावलेले आहे.</t>
        </is>
      </c>
    </row>
    <row r="21" ht="27.75" customHeight="1">
      <c r="A21" s="2" t="n">
        <v>12</v>
      </c>
      <c r="B21" s="3" t="inlineStr">
        <is>
          <t>All valves are numbered / tagged with open-close status indication.</t>
        </is>
      </c>
      <c r="C21" s="11" t="n"/>
      <c r="D21" s="2">
        <f>IF(C21="Yes",2,0)</f>
        <v/>
      </c>
      <c r="E21" s="12" t="n"/>
      <c r="F21" s="45" t="inlineStr">
        <is>
          <t>सभी वाल्वों पर नंबर / टैग लगा है और खुली-बंद स्थिति का संकेत है।</t>
        </is>
      </c>
      <c r="G21" s="45" t="inlineStr">
        <is>
          <t>सर्व व्हॉल्व्हवर क्रमांक / टॅग लावलेला आहे आणि उघडी-बंद स्थिती दर्शवलेली आहे.</t>
        </is>
      </c>
    </row>
    <row r="22" ht="27.75" customHeight="1">
      <c r="A22" s="2" t="n">
        <v>13</v>
      </c>
      <c r="B22" s="3" t="inlineStr">
        <is>
          <t>Pressure and temperature gauges are marked with normal operating ranges.</t>
        </is>
      </c>
      <c r="C22" s="11" t="n"/>
      <c r="D22" s="2">
        <f>IF(C22="Yes",2,0)</f>
        <v/>
      </c>
      <c r="E22" s="12" t="n"/>
      <c r="F22" s="45" t="inlineStr">
        <is>
          <t>प्रेशर और तापमान गेज पर सामान्य कार्य सीमा (नॉर्मल रेंज) चिह्नित है।</t>
        </is>
      </c>
      <c r="G22" s="45" t="inlineStr">
        <is>
          <t>प्रेशर आणि तापमान गेजवर सामान्य कार्य मर्यादा (नॉर्मल रेंज) दर्शवलेली आहे.</t>
        </is>
      </c>
    </row>
    <row r="23" ht="27.75" customHeight="1">
      <c r="A23" s="2" t="n">
        <v>14</v>
      </c>
      <c r="B23" s="3" t="inlineStr">
        <is>
          <t>Water treatment chemicals are stored in labelled, dedicated locations with MSDS.</t>
        </is>
      </c>
      <c r="C23" s="11" t="n"/>
      <c r="D23" s="2">
        <f>IF(C23="Yes",2,0)</f>
        <v/>
      </c>
      <c r="E23" s="12" t="n"/>
      <c r="F23" s="45" t="inlineStr">
        <is>
          <t>पानी उपचार (वॉटर ट्रीटमेंट) के रसायन लेबल लगी, अलग तय जगहों पर MSDS के साथ रखे हैं।</t>
        </is>
      </c>
      <c r="G23" s="45" t="inlineStr">
        <is>
          <t>पाणी प्रक्रियेची (वॉटर ट्रीटमेंट) रसायने लेबल लावलेल्या, स्वतंत्र ठरलेल्या जागी MSDS सह ठेवलेली आहेत.</t>
        </is>
      </c>
    </row>
    <row r="24" ht="27.75" customHeight="1">
      <c r="A24" s="2" t="n">
        <v>15</v>
      </c>
      <c r="B24" s="3" t="inlineStr">
        <is>
          <t>Tools and spares for the utility area are on labelled boards / racks.</t>
        </is>
      </c>
      <c r="C24" s="11" t="n"/>
      <c r="D24" s="2">
        <f>IF(C24="Yes",2,0)</f>
        <v/>
      </c>
      <c r="E24" s="12" t="n"/>
      <c r="F24" s="45" t="inlineStr">
        <is>
          <t>यूटिलिटी क्षेत्र के औज़ार और स्पेयर लेबल लगे बोर्ड / रैकों पर हैं।</t>
        </is>
      </c>
      <c r="G24" s="45" t="inlineStr">
        <is>
          <t>युटिलिटी क्षेत्रातील टूल्स आणि स्पेअर लेबल लावलेल्या बोर्ड / रॅकवर आहेत.</t>
        </is>
      </c>
    </row>
    <row r="25" ht="27.75" customHeight="1">
      <c r="A25" s="2" t="n">
        <v>16</v>
      </c>
      <c r="B25" s="3" t="inlineStr">
        <is>
          <t>Firefighting equipment is mounted at marked, accessible locations.</t>
        </is>
      </c>
      <c r="C25" s="11" t="n"/>
      <c r="D25" s="2">
        <f>IF(C25="Yes",2,0)</f>
        <v/>
      </c>
      <c r="E25" s="12" t="n"/>
      <c r="F25" s="45" t="inlineStr">
        <is>
          <t>अग्निशमन उपकरण चिह्नित और आसानी से पहुँचने योग्य जगहों पर लगे हैं।</t>
        </is>
      </c>
      <c r="G25" s="45" t="inlineStr">
        <is>
          <t>अग्निशमन उपकरणे आखलेल्या आणि सहज पोहोचता येणाऱ्या ठिकाणी बसवलेली आहेत.</t>
        </is>
      </c>
    </row>
    <row r="26" ht="27.75" customHeight="1">
      <c r="A26" s="2" t="n">
        <v>17</v>
      </c>
      <c r="B26" s="3" t="inlineStr">
        <is>
          <t>Log books, checklists and SOPs have a fixed storage place near the operation desk.</t>
        </is>
      </c>
      <c r="C26" s="11" t="n"/>
      <c r="D26" s="2">
        <f>IF(C26="Yes",2,0)</f>
        <v/>
      </c>
      <c r="E26" s="12" t="n"/>
      <c r="F26" s="45" t="inlineStr">
        <is>
          <t>लॉग बुक, चेकलिस्ट और SOP के लिए ऑपरेशन डेस्क के पास एक तय जगह है।</t>
        </is>
      </c>
      <c r="G26" s="45" t="inlineStr">
        <is>
          <t>लॉग बुक, चेकलिस्ट आणि SOP साठी ऑपरेशन डेस्कजवळ ठरलेली जागा आहे.</t>
        </is>
      </c>
    </row>
    <row r="27" ht="27.75" customHeight="1">
      <c r="A27" s="2" t="n">
        <v>18</v>
      </c>
      <c r="B27" s="3" t="inlineStr">
        <is>
          <t>Fuel handling equipment has designated storage / parking.</t>
        </is>
      </c>
      <c r="C27" s="11" t="n"/>
      <c r="D27" s="2">
        <f>IF(C27="Yes",2,0)</f>
        <v/>
      </c>
      <c r="E27" s="12" t="n"/>
      <c r="F27" s="45" t="inlineStr">
        <is>
          <t>ईंधन संभालने के उपकरणों के लिए तय भंडारण / पार्किंग जगह है।</t>
        </is>
      </c>
      <c r="G27" s="45" t="inlineStr">
        <is>
          <t>इंधन हाताळणीच्या उपकरणांसाठी ठरलेली साठवण / पार्किंग जागा आहे.</t>
        </is>
      </c>
    </row>
    <row r="28" ht="27.75" customHeight="1">
      <c r="A28" s="2" t="n">
        <v>19</v>
      </c>
      <c r="B28" s="3" t="inlineStr">
        <is>
          <t>Walkways and platforms around boiler / compressors are marked and unobstructed.</t>
        </is>
      </c>
      <c r="C28" s="11" t="n"/>
      <c r="D28" s="2">
        <f>IF(C28="Yes",2,0)</f>
        <v/>
      </c>
      <c r="E28" s="12" t="n"/>
      <c r="F28" s="45" t="inlineStr">
        <is>
          <t>बॉयलर / कंप्रेसर के आसपास के रास्ते और प्लेटफ़ॉर्म चिह्नित हैं और बिना रुकावट हैं।</t>
        </is>
      </c>
      <c r="G28" s="45" t="inlineStr">
        <is>
          <t>बॉयलर / कॉम्प्रेसरभोवतीचे मार्ग आणि प्लॅटफॉर्म आखलेले आहेत आणि अडथळाविरहित आहेत.</t>
        </is>
      </c>
    </row>
    <row r="29" ht="27.75" customHeight="1">
      <c r="A29" s="2" t="n">
        <v>20</v>
      </c>
      <c r="B29" s="3" t="inlineStr">
        <is>
          <t>Electrical panels are labelled and access in front is kept clear (no storage).</t>
        </is>
      </c>
      <c r="C29" s="11" t="n"/>
      <c r="D29" s="2">
        <f>IF(C29="Yes",2,0)</f>
        <v/>
      </c>
      <c r="E29" s="12" t="n"/>
      <c r="F29" s="45" t="inlineStr">
        <is>
          <t>बिजली के पैनलों पर लेबल लगे हैं और उनके सामने की जगह ख़ाली रखी जाती है (कोई सामान नहीं)।</t>
        </is>
      </c>
      <c r="G29" s="45" t="inlineStr">
        <is>
          <t>विजेच्या पॅनलवर लेबल लावलेले आहेत आणि त्यांच्या समोरची जागा मोकळी ठेवली जाते (कोणतेही सामान नाही).</t>
        </is>
      </c>
    </row>
    <row r="30">
      <c r="A30" s="38" t="inlineStr">
        <is>
          <t>Sub-total 2S (out of 20)</t>
        </is>
      </c>
      <c r="B30" s="44" t="n"/>
      <c r="C30" s="43" t="n"/>
      <c r="D30" s="15">
        <f>SUM(D20:D29)</f>
        <v/>
      </c>
      <c r="E30" s="16" t="n"/>
      <c r="F30" s="16" t="n"/>
      <c r="G30" s="16" t="n"/>
    </row>
    <row r="31">
      <c r="A31" s="37" t="inlineStr">
        <is>
          <t>3S – SEISO (SHINE)</t>
        </is>
      </c>
      <c r="B31" s="44" t="n"/>
      <c r="C31" s="44" t="n"/>
      <c r="D31" s="44" t="n"/>
      <c r="E31" s="43" t="n"/>
      <c r="F31" s="43" t="n"/>
      <c r="G31" s="43" t="n"/>
    </row>
    <row r="32" ht="27.75" customHeight="1">
      <c r="A32" s="2" t="n">
        <v>21</v>
      </c>
      <c r="B32" s="3" t="inlineStr">
        <is>
          <t>Boiler house floor is clean – free of ash, coal dust, oil and water.</t>
        </is>
      </c>
      <c r="C32" s="11" t="n"/>
      <c r="D32" s="2">
        <f>IF(C32="Yes",2,0)</f>
        <v/>
      </c>
      <c r="E32" s="12" t="n"/>
      <c r="F32" s="45" t="inlineStr">
        <is>
          <t>बॉयलर हाउस का फ़र्श साफ़ है – राख, कोयले की धूल, तेल और पानी नहीं है।</t>
        </is>
      </c>
      <c r="G32" s="45" t="inlineStr">
        <is>
          <t>बॉयलर हाऊसची फरशी स्वच्छ आहे – राख, कोळशाची धूळ, तेल आणि पाणी नाही.</t>
        </is>
      </c>
    </row>
    <row r="33" ht="27.75" customHeight="1">
      <c r="A33" s="2" t="n">
        <v>22</v>
      </c>
      <c r="B33" s="3" t="inlineStr">
        <is>
          <t>No steam, air, water, or fuel leakages at joints, valves and glands.</t>
        </is>
      </c>
      <c r="C33" s="11" t="n"/>
      <c r="D33" s="2">
        <f>IF(C33="Yes",2,0)</f>
        <v/>
      </c>
      <c r="E33" s="12" t="n"/>
      <c r="F33" s="45" t="inlineStr">
        <is>
          <t>जोड़ों, वाल्वों और ग्लैंड पर भाप, हवा, पानी या ईंधन का कोई लीकेज नहीं है।</t>
        </is>
      </c>
      <c r="G33" s="45" t="inlineStr">
        <is>
          <t>जोड, व्हॉल्व्ह आणि ग्लँडवर वाफ, हवा, पाणी किंवा इंधनाची कोणतीही गळती नाही.</t>
        </is>
      </c>
    </row>
    <row r="34" ht="27.75" customHeight="1">
      <c r="A34" s="2" t="n">
        <v>23</v>
      </c>
      <c r="B34" s="3" t="inlineStr">
        <is>
          <t>Insulation on steam lines and boiler surfaces is intact and clean.</t>
        </is>
      </c>
      <c r="C34" s="11" t="n"/>
      <c r="D34" s="2">
        <f>IF(C34="Yes",2,0)</f>
        <v/>
      </c>
      <c r="E34" s="12" t="n"/>
      <c r="F34" s="45" t="inlineStr">
        <is>
          <t>भाप की लाइनों और बॉयलर की सतह का इंसुलेशन सही-सलामत और साफ़ है।</t>
        </is>
      </c>
      <c r="G34" s="45" t="inlineStr">
        <is>
          <t>वाफेच्या लाईन आणि बॉयलरच्या पृष्ठभागावरील इन्सुलेशन सुस्थितीत आणि स्वच्छ आहे.</t>
        </is>
      </c>
    </row>
    <row r="35" ht="27.75" customHeight="1">
      <c r="A35" s="2" t="n">
        <v>24</v>
      </c>
      <c r="B35" s="3" t="inlineStr">
        <is>
          <t>Compressors, pumps and motors are clean and free of oil accumulation.</t>
        </is>
      </c>
      <c r="C35" s="11" t="n"/>
      <c r="D35" s="2">
        <f>IF(C35="Yes",2,0)</f>
        <v/>
      </c>
      <c r="E35" s="12" t="n"/>
      <c r="F35" s="45" t="inlineStr">
        <is>
          <t>कंप्रेसर, पंप और मोटर साफ़ हैं और उन पर तेल जमा नहीं है।</t>
        </is>
      </c>
      <c r="G35" s="45" t="inlineStr">
        <is>
          <t>कॉम्प्रेसर, पंप आणि मोटर स्वच्छ आहेत आणि त्यांवर तेल साचलेले नाही.</t>
        </is>
      </c>
    </row>
    <row r="36" ht="27.75" customHeight="1">
      <c r="A36" s="2" t="n">
        <v>25</v>
      </c>
      <c r="B36" s="3" t="inlineStr">
        <is>
          <t>Gauges and sight glasses are clean and readable.</t>
        </is>
      </c>
      <c r="C36" s="11" t="n"/>
      <c r="D36" s="2">
        <f>IF(C36="Yes",2,0)</f>
        <v/>
      </c>
      <c r="E36" s="12" t="n"/>
      <c r="F36" s="45" t="inlineStr">
        <is>
          <t>गेज और साइट ग्लास साफ़ हैं और आसानी से पढ़े जा सकते हैं।</t>
        </is>
      </c>
      <c r="G36" s="45" t="inlineStr">
        <is>
          <t>गेज आणि साईट ग्लास स्वच्छ आहेत आणि सहज वाचता येतात.</t>
        </is>
      </c>
    </row>
    <row r="37" ht="27.75" customHeight="1">
      <c r="A37" s="2" t="n">
        <v>26</v>
      </c>
      <c r="B37" s="3" t="inlineStr">
        <is>
          <t>Cooling tower area is clean; no algae overflow or debris.</t>
        </is>
      </c>
      <c r="C37" s="11" t="n"/>
      <c r="D37" s="2">
        <f>IF(C37="Yes",2,0)</f>
        <v/>
      </c>
      <c r="E37" s="12" t="n"/>
      <c r="F37" s="45" t="inlineStr">
        <is>
          <t>कूलिंग टावर क्षेत्र साफ़ है; काई (एल्गी) बाहर नहीं फैली है और कचरा नहीं है।</t>
        </is>
      </c>
      <c r="G37" s="45" t="inlineStr">
        <is>
          <t>कूलिंग टॉवर क्षेत्र स्वच्छ आहे; शेवाळ (अल्गी) बाहेर पसरलेले नाही आणि कचरा नाही.</t>
        </is>
      </c>
    </row>
    <row r="38" ht="27.75" customHeight="1">
      <c r="A38" s="2" t="n">
        <v>27</v>
      </c>
      <c r="B38" s="3" t="inlineStr">
        <is>
          <t>Drains and channels in the utility area are clean and free-flowing.</t>
        </is>
      </c>
      <c r="C38" s="11" t="n"/>
      <c r="D38" s="2">
        <f>IF(C38="Yes",2,0)</f>
        <v/>
      </c>
      <c r="E38" s="12" t="n"/>
      <c r="F38" s="45" t="inlineStr">
        <is>
          <t>यूटिलिटी क्षेत्र की नालियाँ और चैनल साफ़ हैं और पानी बिना रुकावट बहता है।</t>
        </is>
      </c>
      <c r="G38" s="45" t="inlineStr">
        <is>
          <t>युटिलिटी क्षेत्रातील नाले आणि चॅनल स्वच्छ आहेत आणि पाणी अडथळ्याविना वाहते.</t>
        </is>
      </c>
    </row>
    <row r="39" ht="27.75" customHeight="1">
      <c r="A39" s="2" t="n">
        <v>28</v>
      </c>
      <c r="B39" s="3" t="inlineStr">
        <is>
          <t>Exhaust fans, louvers and ventilation are clean and functional.</t>
        </is>
      </c>
      <c r="C39" s="11" t="n"/>
      <c r="D39" s="2">
        <f>IF(C39="Yes",2,0)</f>
        <v/>
      </c>
      <c r="E39" s="12" t="n"/>
      <c r="F39" s="45" t="inlineStr">
        <is>
          <t>एग्ज़ॉस्ट पंखे, लूवर और हवा निकासी व्यवस्था साफ़ और चालू हैं।</t>
        </is>
      </c>
      <c r="G39" s="45" t="inlineStr">
        <is>
          <t>एक्झॉस्ट पंखे, लूव्हर आणि वायुवीजन व्यवस्था स्वच्छ आणि चालू आहे.</t>
        </is>
      </c>
    </row>
    <row r="40" ht="27.75" customHeight="1">
      <c r="A40" s="2" t="n">
        <v>29</v>
      </c>
      <c r="B40" s="3" t="inlineStr">
        <is>
          <t>Chemical storage area is clean with no spillage; spill kit available.</t>
        </is>
      </c>
      <c r="C40" s="11" t="n"/>
      <c r="D40" s="2">
        <f>IF(C40="Yes",2,0)</f>
        <v/>
      </c>
      <c r="E40" s="12" t="n"/>
      <c r="F40" s="45" t="inlineStr">
        <is>
          <t>रसायन भंडारण क्षेत्र साफ़ है और कुछ गिरा हुआ नहीं है; स्पिल किट उपलब्ध है।</t>
        </is>
      </c>
      <c r="G40" s="45" t="inlineStr">
        <is>
          <t>रसायन साठवण क्षेत्र स्वच्छ आहे आणि काही सांडलेले नाही; स्पिल किट उपलब्ध आहे.</t>
        </is>
      </c>
    </row>
    <row r="41" ht="27.75" customHeight="1">
      <c r="A41" s="2" t="n">
        <v>30</v>
      </c>
      <c r="B41" s="3" t="inlineStr">
        <is>
          <t>Cleaning schedule for the utility area is displayed and followed.</t>
        </is>
      </c>
      <c r="C41" s="11" t="n"/>
      <c r="D41" s="2">
        <f>IF(C41="Yes",2,0)</f>
        <v/>
      </c>
      <c r="E41" s="12" t="n"/>
      <c r="F41" s="45" t="inlineStr">
        <is>
          <t>यूटिलिटी क्षेत्र का सफ़ाई शेड्यूल लगा है और उसका पालन होता है।</t>
        </is>
      </c>
      <c r="G41" s="45" t="inlineStr">
        <is>
          <t>युटिलिटी क्षेत्राचे स्वच्छता वेळापत्रक लावलेले आहे आणि त्याचे पालन होते.</t>
        </is>
      </c>
    </row>
    <row r="42">
      <c r="A42" s="38" t="inlineStr">
        <is>
          <t>Sub-total 3S (out of 20)</t>
        </is>
      </c>
      <c r="B42" s="44" t="n"/>
      <c r="C42" s="43" t="n"/>
      <c r="D42" s="15">
        <f>SUM(D32:D41)</f>
        <v/>
      </c>
      <c r="E42" s="16" t="n"/>
      <c r="F42" s="16" t="n"/>
      <c r="G42" s="16" t="n"/>
    </row>
    <row r="43">
      <c r="A43" s="37" t="inlineStr">
        <is>
          <t>4S – SEIKETSU (STANDARDIZE)</t>
        </is>
      </c>
      <c r="B43" s="44" t="n"/>
      <c r="C43" s="44" t="n"/>
      <c r="D43" s="44" t="n"/>
      <c r="E43" s="43" t="n"/>
      <c r="F43" s="43" t="n"/>
      <c r="G43" s="43" t="n"/>
    </row>
    <row r="44" ht="27.75" customHeight="1">
      <c r="A44" s="2" t="n">
        <v>31</v>
      </c>
      <c r="B44" s="3" t="inlineStr">
        <is>
          <t>Standard operating procedures for boiler operation are displayed.</t>
        </is>
      </c>
      <c r="C44" s="11" t="n"/>
      <c r="D44" s="2">
        <f>IF(C44="Yes",2,0)</f>
        <v/>
      </c>
      <c r="E44" s="12" t="n"/>
      <c r="F44" s="45" t="inlineStr">
        <is>
          <t>बॉयलर चलाने की मानक संचालन प्रक्रियाएँ (SOP) लगी हैं।</t>
        </is>
      </c>
      <c r="G44" s="45" t="inlineStr">
        <is>
          <t>बॉयलर चालवण्याच्या प्रमाणित कार्यपद्धती (SOP) लावलेल्या आहेत.</t>
        </is>
      </c>
    </row>
    <row r="45" ht="27.75" customHeight="1">
      <c r="A45" s="2" t="n">
        <v>32</v>
      </c>
      <c r="B45" s="3" t="inlineStr">
        <is>
          <t>Daily log sheet format (pressure, temperature, TDS, blowdown) is standardized and filled.</t>
        </is>
      </c>
      <c r="C45" s="11" t="n"/>
      <c r="D45" s="2">
        <f>IF(C45="Yes",2,0)</f>
        <v/>
      </c>
      <c r="E45" s="12" t="n"/>
      <c r="F45" s="45" t="inlineStr">
        <is>
          <t>दैनिक लॉग शीट का फ़ॉर्मेट (प्रेशर, तापमान, TDS, ब्लोडाउन) मानकीकृत है और भरा जाता है।</t>
        </is>
      </c>
      <c r="G45" s="45" t="inlineStr">
        <is>
          <t>दैनंदिन लॉग शीटचा फॉरमॅट (प्रेशर, तापमान, TDS, ब्लोडाउन) प्रमाणित आहे आणि भरला जातो.</t>
        </is>
      </c>
    </row>
    <row r="46" ht="27.75" customHeight="1">
      <c r="A46" s="2" t="n">
        <v>33</v>
      </c>
      <c r="B46" s="3" t="inlineStr">
        <is>
          <t>Colour code standard for pipelines and cylinders is displayed and followed.</t>
        </is>
      </c>
      <c r="C46" s="11" t="n"/>
      <c r="D46" s="2">
        <f>IF(C46="Yes",2,0)</f>
        <v/>
      </c>
      <c r="E46" s="12" t="n"/>
      <c r="F46" s="45" t="inlineStr">
        <is>
          <t>पाइपलाइनों और सिलेंडरों का कलर-कोड मानक लगा है और उसका पालन होता है।</t>
        </is>
      </c>
      <c r="G46" s="45" t="inlineStr">
        <is>
          <t>पाइपलाइन आणि सिलिंडरचे कलर-कोड मानक लावलेले आहे आणि त्याचे पालन होते.</t>
        </is>
      </c>
    </row>
    <row r="47" ht="27.75" customHeight="1">
      <c r="A47" s="2" t="n">
        <v>34</v>
      </c>
      <c r="B47" s="3" t="inlineStr">
        <is>
          <t>Safety valve, mountings and interlock testing schedule is defined and followed.</t>
        </is>
      </c>
      <c r="C47" s="11" t="n"/>
      <c r="D47" s="2">
        <f>IF(C47="Yes",2,0)</f>
        <v/>
      </c>
      <c r="E47" s="12" t="n"/>
      <c r="F47" s="45" t="inlineStr">
        <is>
          <t>सेफ़्टी वाल्व, माउंटिंग और इंटरलॉक की जाँच का शेड्यूल तय है और उसका पालन होता है।</t>
        </is>
      </c>
      <c r="G47" s="45" t="inlineStr">
        <is>
          <t>सेफ्टी व्हॉल्व्ह, माउंटिंग आणि इंटरलॉक तपासणीचे वेळापत्रक ठरलेले आहे आणि त्याचे पालन होते.</t>
        </is>
      </c>
    </row>
    <row r="48" ht="27.75" customHeight="1">
      <c r="A48" s="2" t="n">
        <v>35</v>
      </c>
      <c r="B48" s="3" t="inlineStr">
        <is>
          <t>Statutory documents (boiler certificate, operator competency) are valid and displayed.</t>
        </is>
      </c>
      <c r="C48" s="11" t="n"/>
      <c r="D48" s="2">
        <f>IF(C48="Yes",2,0)</f>
        <v/>
      </c>
      <c r="E48" s="12" t="n"/>
      <c r="F48" s="45" t="inlineStr">
        <is>
          <t>वैधानिक दस्तावेज़ (बॉयलर प्रमाणपत्र, ऑपरेटर की योग्यता) वैध हैं और लगे हैं।</t>
        </is>
      </c>
      <c r="G48" s="45" t="inlineStr">
        <is>
          <t>वैधानिक कागदपत्रे (बॉयलर प्रमाणपत्र, ऑपरेटरची पात्रता) वैध आहेत आणि लावलेली आहेत.</t>
        </is>
      </c>
    </row>
    <row r="49" ht="27.75" customHeight="1">
      <c r="A49" s="2" t="n">
        <v>36</v>
      </c>
      <c r="B49" s="3" t="inlineStr">
        <is>
          <t>Emergency procedure and shutdown steps are displayed prominently.</t>
        </is>
      </c>
      <c r="C49" s="11" t="n"/>
      <c r="D49" s="2">
        <f>IF(C49="Yes",2,0)</f>
        <v/>
      </c>
      <c r="E49" s="12" t="n"/>
      <c r="F49" s="45" t="inlineStr">
        <is>
          <t>आपातकालीन प्रक्रिया और बॉयलर बंद करने के चरण साफ़ दिखने वाली जगह पर लगे हैं।</t>
        </is>
      </c>
      <c r="G49" s="45" t="inlineStr">
        <is>
          <t>आपत्कालीन कार्यपद्धती आणि बॉयलर बंद करण्याच्या पायऱ्या ठळकपणे दिसतील अशा ठिकाणी लावलेल्या आहेत.</t>
        </is>
      </c>
    </row>
    <row r="50" ht="27.75" customHeight="1">
      <c r="A50" s="2" t="n">
        <v>37</v>
      </c>
      <c r="B50" s="3" t="inlineStr">
        <is>
          <t>PPE matrix for the utility area is displayed and followed.</t>
        </is>
      </c>
      <c r="C50" s="11" t="n"/>
      <c r="D50" s="2">
        <f>IF(C50="Yes",2,0)</f>
        <v/>
      </c>
      <c r="E50" s="12" t="n"/>
      <c r="F50" s="45" t="inlineStr">
        <is>
          <t>यूटिलिटी क्षेत्र का PPE मैट्रिक्स लगा है और उसका पालन होता है।</t>
        </is>
      </c>
      <c r="G50" s="45" t="inlineStr">
        <is>
          <t>युटिलिटी क्षेत्राचे PPE मॅट्रिक्स लावलेले आहे आणि त्याचे पालन होते.</t>
        </is>
      </c>
    </row>
    <row r="51" ht="27.75" customHeight="1">
      <c r="A51" s="2" t="n">
        <v>38</v>
      </c>
      <c r="B51" s="3" t="inlineStr">
        <is>
          <t>Water quality testing standard and frequency are defined and records maintained.</t>
        </is>
      </c>
      <c r="C51" s="11" t="n"/>
      <c r="D51" s="2">
        <f>IF(C51="Yes",2,0)</f>
        <v/>
      </c>
      <c r="E51" s="12" t="n"/>
      <c r="F51" s="45" t="inlineStr">
        <is>
          <t>पानी की गुणवत्ता जाँच का मानक और आवृत्ति तय है और रिकॉर्ड रखे जाते हैं।</t>
        </is>
      </c>
      <c r="G51" s="45" t="inlineStr">
        <is>
          <t>पाण्याच्या गुणवत्ता तपासणीचे मानक आणि वारंवारता ठरलेली आहे आणि नोंदी ठेवल्या जातात.</t>
        </is>
      </c>
    </row>
    <row r="52" ht="27.75" customHeight="1">
      <c r="A52" s="2" t="n">
        <v>39</v>
      </c>
      <c r="B52" s="3" t="inlineStr">
        <is>
          <t>Preventive maintenance schedule for utilities is displayed and adhered to.</t>
        </is>
      </c>
      <c r="C52" s="11" t="n"/>
      <c r="D52" s="2">
        <f>IF(C52="Yes",2,0)</f>
        <v/>
      </c>
      <c r="E52" s="12" t="n"/>
      <c r="F52" s="45" t="inlineStr">
        <is>
          <t>यूटिलिटी का प्रिवेंटिव मेंटेनेंस शेड्यूल लगा है और उसका पालन होता है।</t>
        </is>
      </c>
      <c r="G52" s="45" t="inlineStr">
        <is>
          <t>युटिलिटीचे प्रिव्हेंटिव्ह मेंटेनन्स वेळापत्रक लावलेले आहे आणि त्याचे पालन होते.</t>
        </is>
      </c>
    </row>
    <row r="53" ht="27.75" customHeight="1">
      <c r="A53" s="2" t="n">
        <v>40</v>
      </c>
      <c r="B53" s="3" t="inlineStr">
        <is>
          <t>5S checklists and audit score board are maintained for the area.</t>
        </is>
      </c>
      <c r="C53" s="11" t="n"/>
      <c r="D53" s="2">
        <f>IF(C53="Yes",2,0)</f>
        <v/>
      </c>
      <c r="E53" s="12" t="n"/>
      <c r="F53" s="45" t="inlineStr">
        <is>
          <t>इस क्षेत्र के लिए 5S चेकलिस्ट और ऑडिट स्कोर बोर्ड बनाए रखे गए हैं।</t>
        </is>
      </c>
      <c r="G53" s="45" t="inlineStr">
        <is>
          <t>या क्षेत्रासाठी 5S चेकलिस्ट आणि ऑडिट स्कोअर फलक अद्ययावत ठेवले आहेत.</t>
        </is>
      </c>
    </row>
    <row r="54">
      <c r="A54" s="38" t="inlineStr">
        <is>
          <t>Sub-total 4S (out of 20)</t>
        </is>
      </c>
      <c r="B54" s="44" t="n"/>
      <c r="C54" s="43" t="n"/>
      <c r="D54" s="15">
        <f>SUM(D44:D53)</f>
        <v/>
      </c>
      <c r="E54" s="16" t="n"/>
      <c r="F54" s="16" t="n"/>
      <c r="G54" s="16" t="n"/>
    </row>
    <row r="55">
      <c r="A55" s="37" t="inlineStr">
        <is>
          <t>5S – SHITSUKE (SUSTAIN)</t>
        </is>
      </c>
      <c r="B55" s="44" t="n"/>
      <c r="C55" s="44" t="n"/>
      <c r="D55" s="44" t="n"/>
      <c r="E55" s="43" t="n"/>
      <c r="F55" s="43" t="n"/>
      <c r="G55" s="43" t="n"/>
    </row>
    <row r="56" ht="27.75" customHeight="1">
      <c r="A56" s="2" t="n">
        <v>41</v>
      </c>
      <c r="B56" s="3" t="inlineStr">
        <is>
          <t>Boiler attendants / operators are qualified and trained (records available).</t>
        </is>
      </c>
      <c r="C56" s="11" t="n"/>
      <c r="D56" s="2">
        <f>IF(C56="Yes",2,0)</f>
        <v/>
      </c>
      <c r="E56" s="12" t="n"/>
      <c r="F56" s="45" t="inlineStr">
        <is>
          <t>बॉयलर अटेंडेंट / ऑपरेटर योग्य (क्वालिफ़ाइड) और प्रशिक्षित हैं (रिकॉर्ड उपलब्ध)।</t>
        </is>
      </c>
      <c r="G56" s="45" t="inlineStr">
        <is>
          <t>बॉयलर अटेंडंट / ऑपरेटर पात्र (क्वालिफाइड) आणि प्रशिक्षित आहेत (नोंदी उपलब्ध).</t>
        </is>
      </c>
    </row>
    <row r="57" ht="27.75" customHeight="1">
      <c r="A57" s="2" t="n">
        <v>42</v>
      </c>
      <c r="B57" s="3" t="inlineStr">
        <is>
          <t>Hourly / shift log readings are recorded in real time without gaps.</t>
        </is>
      </c>
      <c r="C57" s="11" t="n"/>
      <c r="D57" s="2">
        <f>IF(C57="Yes",2,0)</f>
        <v/>
      </c>
      <c r="E57" s="12" t="n"/>
      <c r="F57" s="45" t="inlineStr">
        <is>
          <t>हर घंटे / हर शिफ़्ट की लॉग रीडिंग उसी समय बिना छूटे दर्ज की जाती है।</t>
        </is>
      </c>
      <c r="G57" s="45" t="inlineStr">
        <is>
          <t>दर तासाची / प्रत्येक शिफ्टची लॉग रीडिंग त्याच वेळी, काहीही न सोडता नोंदवली जाते.</t>
        </is>
      </c>
    </row>
    <row r="58" ht="27.75" customHeight="1">
      <c r="A58" s="2" t="n">
        <v>43</v>
      </c>
      <c r="B58" s="3" t="inlineStr">
        <is>
          <t>5S audits of the utility area are conducted as per schedule.</t>
        </is>
      </c>
      <c r="C58" s="11" t="n"/>
      <c r="D58" s="2">
        <f>IF(C58="Yes",2,0)</f>
        <v/>
      </c>
      <c r="E58" s="12" t="n"/>
      <c r="F58" s="45" t="inlineStr">
        <is>
          <t>यूटिलिटी क्षेत्र के 5S ऑडिट शेड्यूल के अनुसार होते हैं।</t>
        </is>
      </c>
      <c r="G58" s="45" t="inlineStr">
        <is>
          <t>युटिलिटी क्षेत्राचे 5S ऑडिट वेळापत्रकानुसार होतात.</t>
        </is>
      </c>
    </row>
    <row r="59" ht="27.75" customHeight="1">
      <c r="A59" s="2" t="n">
        <v>44</v>
      </c>
      <c r="B59" s="3" t="inlineStr">
        <is>
          <t>Previous audit non-conformities are closed on time.</t>
        </is>
      </c>
      <c r="C59" s="11" t="n"/>
      <c r="D59" s="2">
        <f>IF(C59="Yes",2,0)</f>
        <v/>
      </c>
      <c r="E59" s="12" t="n"/>
      <c r="F59" s="45" t="inlineStr">
        <is>
          <t>पिछले ऑडिट की कमियाँ समय पर दूर की जाती हैं।</t>
        </is>
      </c>
      <c r="G59" s="45" t="inlineStr">
        <is>
          <t>मागील ऑडिटमधील त्रुटी वेळेत दूर केल्या जातात.</t>
        </is>
      </c>
    </row>
    <row r="60" ht="27.75" customHeight="1">
      <c r="A60" s="2" t="n">
        <v>45</v>
      </c>
      <c r="B60" s="3" t="inlineStr">
        <is>
          <t>Blowdown, soot blowing and water testing discipline is consistently followed.</t>
        </is>
      </c>
      <c r="C60" s="11" t="n"/>
      <c r="D60" s="2">
        <f>IF(C60="Yes",2,0)</f>
        <v/>
      </c>
      <c r="E60" s="12" t="n"/>
      <c r="F60" s="45" t="inlineStr">
        <is>
          <t>ब्लोडाउन, सूट ब्लोइंग (कालिख की सफ़ाई) और पानी जाँच का अनुशासन लगातार पालन किया जाता है।</t>
        </is>
      </c>
      <c r="G60" s="45" t="inlineStr">
        <is>
          <t>ब्लोडाउन, सूट ब्लोइंग (काजळी साफ करणे) आणि पाणी तपासणीची शिस्त सातत्याने पाळली जाते.</t>
        </is>
      </c>
    </row>
    <row r="61" ht="27.75" customHeight="1">
      <c r="A61" s="2" t="n">
        <v>46</v>
      </c>
      <c r="B61" s="3" t="inlineStr">
        <is>
          <t>Abnormal readings are escalated and acted upon promptly.</t>
        </is>
      </c>
      <c r="C61" s="11" t="n"/>
      <c r="D61" s="2">
        <f>IF(C61="Yes",2,0)</f>
        <v/>
      </c>
      <c r="E61" s="12" t="n"/>
      <c r="F61" s="45" t="inlineStr">
        <is>
          <t>असामान्य रीडिंग तुरंत ऊपर बताई जाती हैं और उन पर कार्रवाई होती है।</t>
        </is>
      </c>
      <c r="G61" s="45" t="inlineStr">
        <is>
          <t>असामान्य रीडिंग लगेच वरिष्ठांना कळवली जाते आणि त्यावर कार्यवाही होते.</t>
        </is>
      </c>
    </row>
    <row r="62" ht="27.75" customHeight="1">
      <c r="A62" s="2" t="n">
        <v>47</v>
      </c>
      <c r="B62" s="3" t="inlineStr">
        <is>
          <t>Housekeeping is maintained across all shifts, including nights.</t>
        </is>
      </c>
      <c r="C62" s="11" t="n"/>
      <c r="D62" s="2">
        <f>IF(C62="Yes",2,0)</f>
        <v/>
      </c>
      <c r="E62" s="12" t="n"/>
      <c r="F62" s="45" t="inlineStr">
        <is>
          <t>रात सहित सभी शिफ़्टों में साफ़-सफ़ाई बनी रहती है।</t>
        </is>
      </c>
      <c r="G62" s="45" t="inlineStr">
        <is>
          <t>रात्रीसह सर्व शिफ्टमध्ये स्वच्छता टिकून राहते.</t>
        </is>
      </c>
    </row>
    <row r="63" ht="27.75" customHeight="1">
      <c r="A63" s="2" t="n">
        <v>48</v>
      </c>
      <c r="B63" s="3" t="inlineStr">
        <is>
          <t>Energy-saving and improvement suggestions are generated and implemented.</t>
        </is>
      </c>
      <c r="C63" s="11" t="n"/>
      <c r="D63" s="2">
        <f>IF(C63="Yes",2,0)</f>
        <v/>
      </c>
      <c r="E63" s="12" t="n"/>
      <c r="F63" s="45" t="inlineStr">
        <is>
          <t>ऊर्जा बचत और सुधार के सुझाव दिए जाते हैं और लागू किए जाते हैं।</t>
        </is>
      </c>
      <c r="G63" s="45" t="inlineStr">
        <is>
          <t>ऊर्जा बचत आणि सुधारणेच्या सूचना दिल्या जातात आणि अंमलात आणल्या जातात.</t>
        </is>
      </c>
    </row>
    <row r="64" ht="27.75" customHeight="1">
      <c r="A64" s="2" t="n">
        <v>49</v>
      </c>
      <c r="B64" s="3" t="inlineStr">
        <is>
          <t>Management reviews utility area safety and 5S periodically.</t>
        </is>
      </c>
      <c r="C64" s="11" t="n"/>
      <c r="D64" s="2">
        <f>IF(C64="Yes",2,0)</f>
        <v/>
      </c>
      <c r="E64" s="12" t="n"/>
      <c r="F64" s="45" t="inlineStr">
        <is>
          <t>प्रबंधन समय-समय पर यूटिलिटी क्षेत्र की सुरक्षा और 5S की समीक्षा करता है।</t>
        </is>
      </c>
      <c r="G64" s="45" t="inlineStr">
        <is>
          <t>व्यवस्थापन वेळोवेळी युटिलिटी क्षेत्राची सुरक्षा आणि 5S यांचा आढावा घेते.</t>
        </is>
      </c>
    </row>
    <row r="65" ht="27.75" customHeight="1">
      <c r="A65" s="2" t="n">
        <v>50</v>
      </c>
      <c r="B65" s="3" t="inlineStr">
        <is>
          <t>Utility area 5S score trend is stable or improving over the last 3 audits.</t>
        </is>
      </c>
      <c r="C65" s="11" t="n"/>
      <c r="D65" s="2">
        <f>IF(C65="Yes",2,0)</f>
        <v/>
      </c>
      <c r="E65" s="12" t="n"/>
      <c r="F65" s="45" t="inlineStr">
        <is>
          <t>पिछले 3 ऑडिट में यूटिलिटी क्षेत्र का 5S स्कोर स्थिर है या बेहतर हो रहा है।</t>
        </is>
      </c>
      <c r="G65" s="45" t="inlineStr">
        <is>
          <t>मागील 3 ऑडिटमध्ये युटिलिटी क्षेत्राचा 5S स्कोअर स्थिर आहे किंवा सुधारत आहे.</t>
        </is>
      </c>
    </row>
    <row r="66">
      <c r="A66" s="38" t="inlineStr">
        <is>
          <t>Sub-total 5S (out of 20)</t>
        </is>
      </c>
      <c r="B66" s="44" t="n"/>
      <c r="C66" s="43" t="n"/>
      <c r="D66" s="15">
        <f>SUM(D56:D65)</f>
        <v/>
      </c>
      <c r="E66" s="16" t="n"/>
      <c r="F66" s="16" t="n"/>
      <c r="G66" s="16" t="n"/>
    </row>
    <row r="67">
      <c r="A67" s="39" t="inlineStr">
        <is>
          <t>TOTAL SCORE (out of 100)</t>
        </is>
      </c>
      <c r="B67" s="44" t="n"/>
      <c r="C67" s="43" t="n"/>
      <c r="D67" s="17">
        <f>D18+D30+D42+D54+D66</f>
        <v/>
      </c>
      <c r="E67" s="10" t="n"/>
      <c r="F67" s="10" t="n"/>
      <c r="G67" s="10" t="n"/>
    </row>
    <row r="68">
      <c r="A68" s="40" t="inlineStr">
        <is>
          <t>PERCENTAGE</t>
        </is>
      </c>
      <c r="B68" s="44" t="n"/>
      <c r="C68" s="43" t="n"/>
      <c r="D68" s="18">
        <f>D67/100</f>
        <v/>
      </c>
      <c r="E68" s="19" t="n"/>
      <c r="F68" s="19" t="n"/>
      <c r="G68" s="19" t="n"/>
    </row>
    <row r="69">
      <c r="A69" s="40" t="inlineStr">
        <is>
          <t>RATING</t>
        </is>
      </c>
      <c r="B69" s="44" t="n"/>
      <c r="C69" s="43" t="n"/>
      <c r="D69" s="21">
        <f>IF(D68&gt;=0.9,"Outstanding",IF(D68&gt;=0.75,"On Track",IF(D68&gt;=0.6,"Improving","Needs Support")))</f>
        <v/>
      </c>
      <c r="E69" s="19" t="n"/>
      <c r="F69" s="19" t="n"/>
      <c r="G69" s="19" t="n"/>
    </row>
    <row r="70"/>
    <row r="71">
      <c r="A71" s="36" t="inlineStr">
        <is>
          <t>Rating scale:  ≥ 90% Outstanding  |  75–89% On Track  |  60–74% Improving  |  &lt; 60% Needs Support.  Points scored 'No' must be entered in the corrective action tracker.</t>
        </is>
      </c>
    </row>
    <row r="72"/>
    <row r="73">
      <c r="B73" s="20" t="inlineStr">
        <is>
          <t>Auditor Signature: ______________________</t>
        </is>
      </c>
      <c r="E73" s="20" t="inlineStr">
        <is>
          <t>Area Owner Signature: ______________________</t>
        </is>
      </c>
      <c r="F73" s="20" t="n"/>
      <c r="G73" s="20" t="n"/>
    </row>
    <row r="74">
      <c r="A74" s="22" t="inlineStr">
        <is>
          <t>Prepared by AB Associates, Nashik.</t>
        </is>
      </c>
    </row>
  </sheetData>
  <mergeCells count="16">
    <mergeCell ref="A42:C42"/>
    <mergeCell ref="A55:E55"/>
    <mergeCell ref="A68:C68"/>
    <mergeCell ref="A66:C66"/>
    <mergeCell ref="A43:E43"/>
    <mergeCell ref="A7:E7"/>
    <mergeCell ref="A19:E19"/>
    <mergeCell ref="A71:E71"/>
    <mergeCell ref="A18:C18"/>
    <mergeCell ref="A67:C67"/>
    <mergeCell ref="A1:E1"/>
    <mergeCell ref="A30:C30"/>
    <mergeCell ref="A69:C69"/>
    <mergeCell ref="A31:E31"/>
    <mergeCell ref="A54:C54"/>
    <mergeCell ref="E2:E4"/>
  </mergeCells>
  <dataValidations count="1">
    <dataValidation sqref="C8:C17 C20:C29 C32:C41 C44:C53 C56:C65" showDropDown="0" showInputMessage="0" showErrorMessage="1" allowBlank="1" errorTitle="Invalid entry" error="Please select Yes or No" type="list">
      <formula1>"Yes,No"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topLeftCell="A66" zoomScaleNormal="100" workbookViewId="0">
      <selection activeCell="A74" sqref="A74"/>
    </sheetView>
  </sheetViews>
  <sheetFormatPr baseColWidth="8" defaultColWidth="8.5703125" defaultRowHeight="15"/>
  <cols>
    <col width="6" customWidth="1" min="1" max="1"/>
    <col width="68" customWidth="1" min="2" max="2"/>
    <col width="12" customWidth="1" min="3" max="3"/>
    <col width="9" customWidth="1" min="4" max="4"/>
    <col width="32" customWidth="1" min="5" max="5"/>
    <col width="60" customWidth="1" min="6" max="6"/>
    <col width="60" customWidth="1" min="7" max="7"/>
  </cols>
  <sheetData>
    <row r="1" ht="25.5" customHeight="1">
      <c r="A1" s="29" t="inlineStr">
        <is>
          <t>5S AUDIT CHECK SHEET – MAINTENANCE</t>
        </is>
      </c>
    </row>
    <row r="2" ht="15" customHeight="1">
      <c r="A2" s="14" t="inlineStr">
        <is>
          <t>Company:</t>
        </is>
      </c>
      <c r="B2" s="13" t="n"/>
      <c r="C2" s="14" t="inlineStr">
        <is>
          <t>Audit Date:</t>
        </is>
      </c>
      <c r="D2" s="13" t="n"/>
      <c r="E2" s="41" t="inlineStr">
        <is>
          <t>Scoring: Yes = 2 marks, No = 0 marks.
Max score = 100.</t>
        </is>
      </c>
    </row>
    <row r="3">
      <c r="A3" s="14" t="inlineStr">
        <is>
          <t>Area / Dept.:</t>
        </is>
      </c>
      <c r="B3" s="13" t="inlineStr">
        <is>
          <t>Maintenance</t>
        </is>
      </c>
      <c r="C3" s="14" t="inlineStr">
        <is>
          <t>Auditor Name:</t>
        </is>
      </c>
      <c r="D3" s="13" t="n"/>
    </row>
    <row r="4">
      <c r="A4" s="14" t="inlineStr">
        <is>
          <t>Shift:</t>
        </is>
      </c>
      <c r="B4" s="13" t="n"/>
      <c r="C4" s="14" t="inlineStr">
        <is>
          <t>Auditee / Area Owner:</t>
        </is>
      </c>
      <c r="D4" s="13" t="n"/>
    </row>
    <row r="5"/>
    <row r="6" ht="19.5" customHeight="1">
      <c r="A6" s="1" t="inlineStr">
        <is>
          <t>Sr.</t>
        </is>
      </c>
      <c r="B6" s="1" t="inlineStr">
        <is>
          <t>Check Point</t>
        </is>
      </c>
      <c r="C6" s="1" t="inlineStr">
        <is>
          <t>Yes / No</t>
        </is>
      </c>
      <c r="D6" s="1" t="inlineStr">
        <is>
          <t>Marks</t>
        </is>
      </c>
      <c r="E6" s="1" t="inlineStr">
        <is>
          <t>Remarks / Observations</t>
        </is>
      </c>
      <c r="F6" s="1" t="inlineStr">
        <is>
          <t>Check Point (Hindi)</t>
        </is>
      </c>
      <c r="G6" s="1" t="inlineStr">
        <is>
          <t>Check Point (Marathi)</t>
        </is>
      </c>
    </row>
    <row r="7">
      <c r="A7" s="37" t="inlineStr">
        <is>
          <t>1S – SEIRI (SORT)</t>
        </is>
      </c>
      <c r="B7" s="44" t="n"/>
      <c r="C7" s="44" t="n"/>
      <c r="D7" s="44" t="n"/>
      <c r="E7" s="43" t="n"/>
      <c r="F7" s="43" t="n"/>
      <c r="G7" s="43" t="n"/>
    </row>
    <row r="8" ht="27.75" customHeight="1">
      <c r="A8" s="2" t="n">
        <v>1</v>
      </c>
      <c r="B8" s="3" t="inlineStr">
        <is>
          <t>Only required tools and equipment are kept in the maintenance workshop.</t>
        </is>
      </c>
      <c r="C8" s="11" t="n"/>
      <c r="D8" s="2">
        <f>IF(C8="Yes",2,0)</f>
        <v/>
      </c>
      <c r="E8" s="12" t="n"/>
      <c r="F8" s="45" t="inlineStr">
        <is>
          <t>मेंटेनेंस वर्कशॉप में केवल ज़रूरी औज़ार और उपकरण रखे हैं।</t>
        </is>
      </c>
      <c r="G8" s="45" t="inlineStr">
        <is>
          <t>मेंटेनन्स वर्कशॉपमध्ये फक्त आवश्यक टूल्स आणि उपकरणे ठेवलेली आहेत.</t>
        </is>
      </c>
    </row>
    <row r="9" ht="27.75" customHeight="1">
      <c r="A9" s="2" t="n">
        <v>2</v>
      </c>
      <c r="B9" s="3" t="inlineStr">
        <is>
          <t>Scrapped / replaced spares and motors are dispositioned; not accumulating.</t>
        </is>
      </c>
      <c r="C9" s="11" t="n"/>
      <c r="D9" s="2">
        <f>IF(C9="Yes",2,0)</f>
        <v/>
      </c>
      <c r="E9" s="12" t="n"/>
      <c r="F9" s="45" t="inlineStr">
        <is>
          <t>स्क्रैप हुए / बदले गए स्पेयर और मोटरों पर निर्णय लेकर कार्रवाई होती है; वे जमा नहीं होते।</t>
        </is>
      </c>
      <c r="G9" s="45" t="inlineStr">
        <is>
          <t>स्क्रॅप झालेले / बदललेले स्पेअर आणि मोटर यांवर निर्णय घेऊन कार्यवाही होते; ते साचत नाहीत.</t>
        </is>
      </c>
    </row>
    <row r="10" ht="27.75" customHeight="1">
      <c r="A10" s="2" t="n">
        <v>3</v>
      </c>
      <c r="B10" s="3" t="inlineStr">
        <is>
          <t>Obsolete spares (for machines no longer in plant) are identified and removed.</t>
        </is>
      </c>
      <c r="C10" s="11" t="n"/>
      <c r="D10" s="2">
        <f>IF(C10="Yes",2,0)</f>
        <v/>
      </c>
      <c r="E10" s="12" t="n"/>
      <c r="F10" s="45" t="inlineStr">
        <is>
          <t>पुराने स्पेयर (जिन मशीनों के लिए थे वे अब प्लांट में नहीं हैं) पहचानकर हटा दिए गए हैं।</t>
        </is>
      </c>
      <c r="G10" s="45" t="inlineStr">
        <is>
          <t>कालबाह्य स्पेअर (ज्या मशीनसाठी होते त्या आता प्लांटमध्ये नाहीत) ओळखून काढून टाकले आहेत.</t>
        </is>
      </c>
    </row>
    <row r="11" ht="27.75" customHeight="1">
      <c r="A11" s="2" t="n">
        <v>4</v>
      </c>
      <c r="B11" s="3" t="inlineStr">
        <is>
          <t>Used / waste oil is collected in designated drums and disposed as per norms.</t>
        </is>
      </c>
      <c r="C11" s="11" t="n"/>
      <c r="D11" s="2">
        <f>IF(C11="Yes",2,0)</f>
        <v/>
      </c>
      <c r="E11" s="12" t="n"/>
      <c r="F11" s="45" t="inlineStr">
        <is>
          <t>इस्तेमाल हुआ / बेकार तेल तय ड्रमों में इकट्ठा किया जाता है और नियमों के अनुसार निपटाया जाता है।</t>
        </is>
      </c>
      <c r="G11" s="45" t="inlineStr">
        <is>
          <t>वापरलेले / टाकाऊ तेल ठरलेल्या ड्रममध्ये गोळा केले जाते आणि नियमांनुसार त्याची विल्हेवाट लावली जाते.</t>
        </is>
      </c>
    </row>
    <row r="12" ht="27.75" customHeight="1">
      <c r="A12" s="2" t="n">
        <v>5</v>
      </c>
      <c r="B12" s="3" t="inlineStr">
        <is>
          <t>Damaged tools are removed from circulation and replaced.</t>
        </is>
      </c>
      <c r="C12" s="11" t="n"/>
      <c r="D12" s="2">
        <f>IF(C12="Yes",2,0)</f>
        <v/>
      </c>
      <c r="E12" s="12" t="n"/>
      <c r="F12" s="45" t="inlineStr">
        <is>
          <t>ख़राब औज़ार उपयोग से हटा दिए जाते हैं और बदल दिए जाते हैं।</t>
        </is>
      </c>
      <c r="G12" s="45" t="inlineStr">
        <is>
          <t>खराब टूल्स वापरातून काढले जातात आणि बदलले जातात.</t>
        </is>
      </c>
    </row>
    <row r="13" ht="27.75" customHeight="1">
      <c r="A13" s="2" t="n">
        <v>6</v>
      </c>
      <c r="B13" s="3" t="inlineStr">
        <is>
          <t>No unwanted cables, pipes or fabrication leftovers are lying in the workshop.</t>
        </is>
      </c>
      <c r="C13" s="11" t="n"/>
      <c r="D13" s="2">
        <f>IF(C13="Yes",2,0)</f>
        <v/>
      </c>
      <c r="E13" s="12" t="n"/>
      <c r="F13" s="45" t="inlineStr">
        <is>
          <t>वर्कशॉप में कोई अनावश्यक केबल, पाइप या फ़ैब्रिकेशन का बचा हुआ सामान नहीं पड़ा है।</t>
        </is>
      </c>
      <c r="G13" s="45" t="inlineStr">
        <is>
          <t>वर्कशॉपमध्ये कोणत्याही अनावश्यक केबल, पाईप किंवा फॅब्रिकेशनचे उरलेले सामान पडलेले नाही.</t>
        </is>
      </c>
    </row>
    <row r="14" ht="27.75" customHeight="1">
      <c r="A14" s="2" t="n">
        <v>7</v>
      </c>
      <c r="B14" s="3" t="inlineStr">
        <is>
          <t>Old drawings and obsolete manuals are archived / removed from active racks.</t>
        </is>
      </c>
      <c r="C14" s="11" t="n"/>
      <c r="D14" s="2">
        <f>IF(C14="Yes",2,0)</f>
        <v/>
      </c>
      <c r="E14" s="12" t="n"/>
      <c r="F14" s="45" t="inlineStr">
        <is>
          <t>पुरानी ड्रॉइंग और पुराने मैनुअल संग्रह (आर्काइव) में भेज दिए गए हैं / चालू रैकों से हटा दिए गए हैं।</t>
        </is>
      </c>
      <c r="G14" s="45" t="inlineStr">
        <is>
          <t>जुनी ड्रॉइंग आणि कालबाह्य मॅन्युअल संग्रहात (आर्काइव्ह) पाठवली आहेत / चालू रॅकवरून काढली आहेत.</t>
        </is>
      </c>
    </row>
    <row r="15" ht="27.75" customHeight="1">
      <c r="A15" s="2" t="n">
        <v>8</v>
      </c>
      <c r="B15" s="3" t="inlineStr">
        <is>
          <t>Workbenches are free of unnecessary items.</t>
        </is>
      </c>
      <c r="C15" s="11" t="n"/>
      <c r="D15" s="2">
        <f>IF(C15="Yes",2,0)</f>
        <v/>
      </c>
      <c r="E15" s="12" t="n"/>
      <c r="F15" s="45" t="inlineStr">
        <is>
          <t>वर्कबेंच पर कोई अनावश्यक वस्तु नहीं है।</t>
        </is>
      </c>
      <c r="G15" s="45" t="inlineStr">
        <is>
          <t>वर्कबेंचवर कोणतीही अनावश्यक वस्तू नाही.</t>
        </is>
      </c>
    </row>
    <row r="16" ht="27.75" customHeight="1">
      <c r="A16" s="2" t="n">
        <v>9</v>
      </c>
      <c r="B16" s="3" t="inlineStr">
        <is>
          <t>A red-tag area exists and is cleared within the defined time.</t>
        </is>
      </c>
      <c r="C16" s="11" t="n"/>
      <c r="D16" s="2">
        <f>IF(C16="Yes",2,0)</f>
        <v/>
      </c>
      <c r="E16" s="12" t="n"/>
      <c r="F16" s="45" t="inlineStr">
        <is>
          <t>रेड-टैग क्षेत्र मौजूद है और तय समय के भीतर खाली किया जाता है।</t>
        </is>
      </c>
      <c r="G16" s="45" t="inlineStr">
        <is>
          <t>रेड-टॅग क्षेत्र आहे आणि ठरलेल्या वेळेत रिकामे केले जाते.</t>
        </is>
      </c>
    </row>
    <row r="17" ht="27.75" customHeight="1">
      <c r="A17" s="2" t="n">
        <v>10</v>
      </c>
      <c r="B17" s="3" t="inlineStr">
        <is>
          <t>No personal items in the workshop area.</t>
        </is>
      </c>
      <c r="C17" s="11" t="n"/>
      <c r="D17" s="2">
        <f>IF(C17="Yes",2,0)</f>
        <v/>
      </c>
      <c r="E17" s="12" t="n"/>
      <c r="F17" s="45" t="inlineStr">
        <is>
          <t>वर्कशॉप क्षेत्र में कोई निजी सामान नहीं है।</t>
        </is>
      </c>
      <c r="G17" s="45" t="inlineStr">
        <is>
          <t>वर्कशॉप क्षेत्रात कोणतेही वैयक्तिक सामान नाही.</t>
        </is>
      </c>
    </row>
    <row r="18">
      <c r="A18" s="38" t="inlineStr">
        <is>
          <t>Sub-total 1S (out of 20)</t>
        </is>
      </c>
      <c r="B18" s="44" t="n"/>
      <c r="C18" s="43" t="n"/>
      <c r="D18" s="15">
        <f>SUM(D8:D17)</f>
        <v/>
      </c>
      <c r="E18" s="16" t="n"/>
      <c r="F18" s="16" t="n"/>
      <c r="G18" s="16" t="n"/>
    </row>
    <row r="19">
      <c r="A19" s="37" t="inlineStr">
        <is>
          <t>2S – SEITON (SET IN ORDER)</t>
        </is>
      </c>
      <c r="B19" s="44" t="n"/>
      <c r="C19" s="44" t="n"/>
      <c r="D19" s="44" t="n"/>
      <c r="E19" s="43" t="n"/>
      <c r="F19" s="43" t="n"/>
      <c r="G19" s="43" t="n"/>
    </row>
    <row r="20" ht="27.75" customHeight="1">
      <c r="A20" s="2" t="n">
        <v>11</v>
      </c>
      <c r="B20" s="3" t="inlineStr">
        <is>
          <t>Tools are arranged on shadow boards with outlines; tool inventory list available.</t>
        </is>
      </c>
      <c r="C20" s="11" t="n"/>
      <c r="D20" s="2">
        <f>IF(C20="Yes",2,0)</f>
        <v/>
      </c>
      <c r="E20" s="12" t="n"/>
      <c r="F20" s="45" t="inlineStr">
        <is>
          <t>औज़ार आकृति (आउटलाइन) वाले शैडो बोर्ड पर रखे हैं; औज़ारों की सूची उपलब्ध है।</t>
        </is>
      </c>
      <c r="G20" s="45" t="inlineStr">
        <is>
          <t>टूल्स बाह्यरेषा (आउटलाइन) असलेल्या शॅडो बोर्डवर ठेवलेले आहेत; टूल्सची यादी उपलब्ध आहे.</t>
        </is>
      </c>
    </row>
    <row r="21" ht="27.75" customHeight="1">
      <c r="A21" s="2" t="n">
        <v>12</v>
      </c>
      <c r="B21" s="3" t="inlineStr">
        <is>
          <t>Spare parts are stored in labelled bins / racks with a location master.</t>
        </is>
      </c>
      <c r="C21" s="11" t="n"/>
      <c r="D21" s="2">
        <f>IF(C21="Yes",2,0)</f>
        <v/>
      </c>
      <c r="E21" s="12" t="n"/>
      <c r="F21" s="45" t="inlineStr">
        <is>
          <t>स्पेयर पार्ट्स लेबल लगे बिनों / रैकों में रखे हैं और लोकेशन मास्टर उपलब्ध है।</t>
        </is>
      </c>
      <c r="G21" s="45" t="inlineStr">
        <is>
          <t>स्पेअर पार्ट्स लेबल लावलेल्या बिन / रॅकमध्ये ठेवलेले आहेत आणि लोकेशन मास्टर उपलब्ध आहे.</t>
        </is>
      </c>
    </row>
    <row r="22" ht="27.75" customHeight="1">
      <c r="A22" s="2" t="n">
        <v>13</v>
      </c>
      <c r="B22" s="3" t="inlineStr">
        <is>
          <t>Critical spares are identified and their min / max levels are visually indicated.</t>
        </is>
      </c>
      <c r="C22" s="11" t="n"/>
      <c r="D22" s="2">
        <f>IF(C22="Yes",2,0)</f>
        <v/>
      </c>
      <c r="E22" s="12" t="n"/>
      <c r="F22" s="45" t="inlineStr">
        <is>
          <t>ज़रूरी (क्रिटिकल) स्पेयर पहचाने गए हैं और उनके न्यूनतम / अधिकतम स्तर दृश्य रूप से दिखाए गए हैं।</t>
        </is>
      </c>
      <c r="G22" s="45" t="inlineStr">
        <is>
          <t>महत्त्वाचे (क्रिटिकल) स्पेअर ओळखलेले आहेत आणि त्यांची किमान / कमाल पातळी दृश्य स्वरूपात दाखवलेली आहे.</t>
        </is>
      </c>
    </row>
    <row r="23" ht="27.75" customHeight="1">
      <c r="A23" s="2" t="n">
        <v>14</v>
      </c>
      <c r="B23" s="3" t="inlineStr">
        <is>
          <t>Lubricants are stored in a dedicated area with colour-coded containers and labels.</t>
        </is>
      </c>
      <c r="C23" s="11" t="n"/>
      <c r="D23" s="2">
        <f>IF(C23="Yes",2,0)</f>
        <v/>
      </c>
      <c r="E23" s="12" t="n"/>
      <c r="F23" s="45" t="inlineStr">
        <is>
          <t>लुब्रिकेंट अलग तय क्षेत्र में कलर-कोड वाले डिब्बों में लेबल के साथ रखे हैं।</t>
        </is>
      </c>
      <c r="G23" s="45" t="inlineStr">
        <is>
          <t>ल्युब्रिकंट स्वतंत्र ठरलेल्या क्षेत्रात कलर-कोड असलेल्या डब्यांमध्ये लेबलसह ठेवलेले आहेत.</t>
        </is>
      </c>
    </row>
    <row r="24" ht="27.75" customHeight="1">
      <c r="A24" s="2" t="n">
        <v>15</v>
      </c>
      <c r="B24" s="3" t="inlineStr">
        <is>
          <t>Measuring instruments are stored in protected cases at designated places.</t>
        </is>
      </c>
      <c r="C24" s="11" t="n"/>
      <c r="D24" s="2">
        <f>IF(C24="Yes",2,0)</f>
        <v/>
      </c>
      <c r="E24" s="12" t="n"/>
      <c r="F24" s="45" t="inlineStr">
        <is>
          <t>मापने के उपकरण तय जगहों पर सुरक्षित केस में रखे जाते हैं।</t>
        </is>
      </c>
      <c r="G24" s="45" t="inlineStr">
        <is>
          <t>मोजमापाची उपकरणे ठरलेल्या जागी सुरक्षित केसमध्ये ठेवली जातात.</t>
        </is>
      </c>
    </row>
    <row r="25" ht="27.75" customHeight="1">
      <c r="A25" s="2" t="n">
        <v>16</v>
      </c>
      <c r="B25" s="3" t="inlineStr">
        <is>
          <t>Welding / cutting equipment has a designated, safe storage location.</t>
        </is>
      </c>
      <c r="C25" s="11" t="n"/>
      <c r="D25" s="2">
        <f>IF(C25="Yes",2,0)</f>
        <v/>
      </c>
      <c r="E25" s="12" t="n"/>
      <c r="F25" s="45" t="inlineStr">
        <is>
          <t>वेल्डिंग / कटिंग उपकरण के लिए तय और सुरक्षित भंडारण जगह है।</t>
        </is>
      </c>
      <c r="G25" s="45" t="inlineStr">
        <is>
          <t>वेल्डिंग / कटिंग उपकरणांसाठी ठरलेली आणि सुरक्षित साठवण जागा आहे.</t>
        </is>
      </c>
    </row>
    <row r="26" ht="27.75" customHeight="1">
      <c r="A26" s="2" t="n">
        <v>17</v>
      </c>
      <c r="B26" s="3" t="inlineStr">
        <is>
          <t>Machine manuals, drawings and history cards are indexed and easily retrievable.</t>
        </is>
      </c>
      <c r="C26" s="11" t="n"/>
      <c r="D26" s="2">
        <f>IF(C26="Yes",2,0)</f>
        <v/>
      </c>
      <c r="E26" s="12" t="n"/>
      <c r="F26" s="45" t="inlineStr">
        <is>
          <t>मशीन मैनुअल, ड्रॉइंग और हिस्ट्री कार्ड इंडेक्स किए गए हैं और आसानी से निकाले जा सकते हैं।</t>
        </is>
      </c>
      <c r="G26" s="45" t="inlineStr">
        <is>
          <t>मशीन मॅन्युअल, ड्रॉइंग आणि हिस्ट्री कार्ड इंडेक्स केलेले आहेत आणि सहज काढता येतात.</t>
        </is>
      </c>
    </row>
    <row r="27" ht="27.75" customHeight="1">
      <c r="A27" s="2" t="n">
        <v>18</v>
      </c>
      <c r="B27" s="3" t="inlineStr">
        <is>
          <t>Ladders, hoists and slings are stored at designated locations with inspection tags.</t>
        </is>
      </c>
      <c r="C27" s="11" t="n"/>
      <c r="D27" s="2">
        <f>IF(C27="Yes",2,0)</f>
        <v/>
      </c>
      <c r="E27" s="12" t="n"/>
      <c r="F27" s="45" t="inlineStr">
        <is>
          <t>सीढ़ियाँ, होइस्ट और स्लिंग निरीक्षण टैग के साथ तय जगहों पर रखे जाते हैं।</t>
        </is>
      </c>
      <c r="G27" s="45" t="inlineStr">
        <is>
          <t>शिड्या, होईस्ट आणि स्लिंग तपासणी टॅगसह ठरलेल्या जागी ठेवल्या जातात.</t>
        </is>
      </c>
    </row>
    <row r="28" ht="27.75" customHeight="1">
      <c r="A28" s="2" t="n">
        <v>19</v>
      </c>
      <c r="B28" s="3" t="inlineStr">
        <is>
          <t>Maintenance trolleys are equipped and parked at marked locations.</t>
        </is>
      </c>
      <c r="C28" s="11" t="n"/>
      <c r="D28" s="2">
        <f>IF(C28="Yes",2,0)</f>
        <v/>
      </c>
      <c r="E28" s="12" t="n"/>
      <c r="F28" s="45" t="inlineStr">
        <is>
          <t>मेंटेनेंस ट्रॉलियों में ज़रूरी सामान है और वे चिह्नित जगहों पर खड़ी की जाती हैं।</t>
        </is>
      </c>
      <c r="G28" s="45" t="inlineStr">
        <is>
          <t>मेंटेनन्स ट्रॉलीमध्ये आवश्यक साहित्य आहे आणि त्या आखलेल्या जागी उभ्या केल्या जातात.</t>
        </is>
      </c>
    </row>
    <row r="29" ht="27.75" customHeight="1">
      <c r="A29" s="2" t="n">
        <v>20</v>
      </c>
      <c r="B29" s="3" t="inlineStr">
        <is>
          <t>Any tool or spare can be retrieved within 2–3 minutes (retrieval test).</t>
        </is>
      </c>
      <c r="C29" s="11" t="n"/>
      <c r="D29" s="2">
        <f>IF(C29="Yes",2,0)</f>
        <v/>
      </c>
      <c r="E29" s="12" t="n"/>
      <c r="F29" s="45" t="inlineStr">
        <is>
          <t>कोई भी औज़ार या स्पेयर 2–3 मिनट के अंदर ढूँढकर निकाला जा सकता है (ढूँढकर निकालने की जाँच)।</t>
        </is>
      </c>
      <c r="G29" s="45" t="inlineStr">
        <is>
          <t>कोणतेही टूल किंवा स्पेअर 2–3 मिनिटांच्या आत शोधून काढता येते (शोधून काढण्याची चाचणी).</t>
        </is>
      </c>
    </row>
    <row r="30">
      <c r="A30" s="38" t="inlineStr">
        <is>
          <t>Sub-total 2S (out of 20)</t>
        </is>
      </c>
      <c r="B30" s="44" t="n"/>
      <c r="C30" s="43" t="n"/>
      <c r="D30" s="15">
        <f>SUM(D20:D29)</f>
        <v/>
      </c>
      <c r="E30" s="16" t="n"/>
      <c r="F30" s="16" t="n"/>
      <c r="G30" s="16" t="n"/>
    </row>
    <row r="31">
      <c r="A31" s="37" t="inlineStr">
        <is>
          <t>3S – SEISO (SHINE)</t>
        </is>
      </c>
      <c r="B31" s="44" t="n"/>
      <c r="C31" s="44" t="n"/>
      <c r="D31" s="44" t="n"/>
      <c r="E31" s="43" t="n"/>
      <c r="F31" s="43" t="n"/>
      <c r="G31" s="43" t="n"/>
    </row>
    <row r="32" ht="27.75" customHeight="1">
      <c r="A32" s="2" t="n">
        <v>21</v>
      </c>
      <c r="B32" s="3" t="inlineStr">
        <is>
          <t>Workshop floor is clean – free of oil, grease and metal scrap.</t>
        </is>
      </c>
      <c r="C32" s="11" t="n"/>
      <c r="D32" s="2">
        <f>IF(C32="Yes",2,0)</f>
        <v/>
      </c>
      <c r="E32" s="12" t="n"/>
      <c r="F32" s="45" t="inlineStr">
        <is>
          <t>वर्कशॉप का फ़र्श साफ़ है – तेल, ग्रीस और धातु का स्क्रैप नहीं है।</t>
        </is>
      </c>
      <c r="G32" s="45" t="inlineStr">
        <is>
          <t>वर्कशॉपची फरशी स्वच्छ आहे – तेल, ग्रीस आणि धातूचे स्क्रॅप नाही.</t>
        </is>
      </c>
    </row>
    <row r="33" ht="27.75" customHeight="1">
      <c r="A33" s="2" t="n">
        <v>22</v>
      </c>
      <c r="B33" s="3" t="inlineStr">
        <is>
          <t>Workbenches, vices and machines (grinder, drill, lathe) are clean.</t>
        </is>
      </c>
      <c r="C33" s="11" t="n"/>
      <c r="D33" s="2">
        <f>IF(C33="Yes",2,0)</f>
        <v/>
      </c>
      <c r="E33" s="12" t="n"/>
      <c r="F33" s="45" t="inlineStr">
        <is>
          <t>वर्कबेंच, वाइस और मशीनें (ग्राइंडर, ड्रिल, लेथ) साफ़ हैं।</t>
        </is>
      </c>
      <c r="G33" s="45" t="inlineStr">
        <is>
          <t>वर्कबेंच, व्हाईस आणि मशीन (ग्राइंडर, ड्रिल, लेथ) स्वच्छ आहेत.</t>
        </is>
      </c>
    </row>
    <row r="34" ht="27.75" customHeight="1">
      <c r="A34" s="2" t="n">
        <v>23</v>
      </c>
      <c r="B34" s="3" t="inlineStr">
        <is>
          <t>No oil / grease spillage around stored lubricants; spill trays used.</t>
        </is>
      </c>
      <c r="C34" s="11" t="n"/>
      <c r="D34" s="2">
        <f>IF(C34="Yes",2,0)</f>
        <v/>
      </c>
      <c r="E34" s="12" t="n"/>
      <c r="F34" s="45" t="inlineStr">
        <is>
          <t>रखे हुए लुब्रिकेंट के आसपास तेल / ग्रीस नहीं गिरा है; स्पिल ट्रे का उपयोग होता है।</t>
        </is>
      </c>
      <c r="G34" s="45" t="inlineStr">
        <is>
          <t>ठेवलेल्या ल्युब्रिकंटभोवती तेल / ग्रीस सांडलेले नाही; स्पिल ट्रे वापरले जातात.</t>
        </is>
      </c>
    </row>
    <row r="35" ht="27.75" customHeight="1">
      <c r="A35" s="2" t="n">
        <v>24</v>
      </c>
      <c r="B35" s="3" t="inlineStr">
        <is>
          <t>Tools are cleaned before being returned to their locations.</t>
        </is>
      </c>
      <c r="C35" s="11" t="n"/>
      <c r="D35" s="2">
        <f>IF(C35="Yes",2,0)</f>
        <v/>
      </c>
      <c r="E35" s="12" t="n"/>
      <c r="F35" s="45" t="inlineStr">
        <is>
          <t>औज़ार अपनी जगह पर लौटाने से पहले साफ़ किए जाते हैं।</t>
        </is>
      </c>
      <c r="G35" s="45" t="inlineStr">
        <is>
          <t>टूल्स त्यांच्या जागी परत ठेवण्यापूर्वी स्वच्छ केले जातात.</t>
        </is>
      </c>
    </row>
    <row r="36" ht="27.75" customHeight="1">
      <c r="A36" s="2" t="n">
        <v>25</v>
      </c>
      <c r="B36" s="3" t="inlineStr">
        <is>
          <t>Exhaust and ventilation in the workshop are adequate and clean.</t>
        </is>
      </c>
      <c r="C36" s="11" t="n"/>
      <c r="D36" s="2">
        <f>IF(C36="Yes",2,0)</f>
        <v/>
      </c>
      <c r="E36" s="12" t="n"/>
      <c r="F36" s="45" t="inlineStr">
        <is>
          <t>वर्कशॉप में एग्ज़ॉस्ट और हवा की व्यवस्था पर्याप्त और साफ़ है।</t>
        </is>
      </c>
      <c r="G36" s="45" t="inlineStr">
        <is>
          <t>वर्कशॉपमध्ये एक्झॉस्ट आणि वायुवीजन व्यवस्था पुरेशी आणि स्वच्छ आहे.</t>
        </is>
      </c>
    </row>
    <row r="37" ht="27.75" customHeight="1">
      <c r="A37" s="2" t="n">
        <v>26</v>
      </c>
      <c r="B37" s="3" t="inlineStr">
        <is>
          <t>Waste bins (metal scrap, cotton waste, general) are segregated and cleared.</t>
        </is>
      </c>
      <c r="C37" s="11" t="n"/>
      <c r="D37" s="2">
        <f>IF(C37="Yes",2,0)</f>
        <v/>
      </c>
      <c r="E37" s="12" t="n"/>
      <c r="F37" s="45" t="inlineStr">
        <is>
          <t>कचरे के डिब्बे (धातु स्क्रैप, कॉटन वेस्ट, सामान्य) अलग-अलग हैं और खाली किए जाते हैं।</t>
        </is>
      </c>
      <c r="G37" s="45" t="inlineStr">
        <is>
          <t>कचऱ्याचे डबे (धातूचे स्क्रॅप, कॉटन वेस्ट, सामान्य) वेगवेगळे आहेत आणि रिकामे केले जातात.</t>
        </is>
      </c>
    </row>
    <row r="38" ht="27.75" customHeight="1">
      <c r="A38" s="2" t="n">
        <v>27</v>
      </c>
      <c r="B38" s="3" t="inlineStr">
        <is>
          <t>Lighting in the workshop is adequate and fixtures are clean.</t>
        </is>
      </c>
      <c r="C38" s="11" t="n"/>
      <c r="D38" s="2">
        <f>IF(C38="Yes",2,0)</f>
        <v/>
      </c>
      <c r="E38" s="12" t="n"/>
      <c r="F38" s="45" t="inlineStr">
        <is>
          <t>वर्कशॉप में रोशनी पर्याप्त है और लाइट फ़िटिंग साफ़ हैं।</t>
        </is>
      </c>
      <c r="G38" s="45" t="inlineStr">
        <is>
          <t>वर्कशॉपमध्ये प्रकाश पुरेसा आहे आणि लाईट फिटिंग स्वच्छ आहेत.</t>
        </is>
      </c>
    </row>
    <row r="39" ht="27.75" customHeight="1">
      <c r="A39" s="2" t="n">
        <v>28</v>
      </c>
      <c r="B39" s="3" t="inlineStr">
        <is>
          <t>Electrical panels and DBs in the workshop are clean and closed.</t>
        </is>
      </c>
      <c r="C39" s="11" t="n"/>
      <c r="D39" s="2">
        <f>IF(C39="Yes",2,0)</f>
        <v/>
      </c>
      <c r="E39" s="12" t="n"/>
      <c r="F39" s="45" t="inlineStr">
        <is>
          <t>वर्कशॉप के बिजली पैनल और DB साफ़ और बंद हैं।</t>
        </is>
      </c>
      <c r="G39" s="45" t="inlineStr">
        <is>
          <t>वर्कशॉपमधील विजेचे पॅनल आणि DB स्वच्छ आणि बंद आहेत.</t>
        </is>
      </c>
    </row>
    <row r="40" ht="27.75" customHeight="1">
      <c r="A40" s="2" t="n">
        <v>29</v>
      </c>
      <c r="B40" s="3" t="inlineStr">
        <is>
          <t>Cleaning schedule for the workshop is displayed and followed.</t>
        </is>
      </c>
      <c r="C40" s="11" t="n"/>
      <c r="D40" s="2">
        <f>IF(C40="Yes",2,0)</f>
        <v/>
      </c>
      <c r="E40" s="12" t="n"/>
      <c r="F40" s="45" t="inlineStr">
        <is>
          <t>वर्कशॉप का सफ़ाई शेड्यूल लगा है और उसका पालन होता है।</t>
        </is>
      </c>
      <c r="G40" s="45" t="inlineStr">
        <is>
          <t>वर्कशॉपचे स्वच्छता वेळापत्रक लावलेले आहे आणि त्याचे पालन होते.</t>
        </is>
      </c>
    </row>
    <row r="41" ht="27.75" customHeight="1">
      <c r="A41" s="2" t="n">
        <v>30</v>
      </c>
      <c r="B41" s="3" t="inlineStr">
        <is>
          <t>Contaminated cotton waste / used gloves are disposed as hazardous waste.</t>
        </is>
      </c>
      <c r="C41" s="11" t="n"/>
      <c r="D41" s="2">
        <f>IF(C41="Yes",2,0)</f>
        <v/>
      </c>
      <c r="E41" s="12" t="n"/>
      <c r="F41" s="45" t="inlineStr">
        <is>
          <t>तेल लगा कॉटन वेस्ट / इस्तेमाल किए दस्ताने ख़तरनाक कचरे के रूप में निपटाए जाते हैं।</t>
        </is>
      </c>
      <c r="G41" s="45" t="inlineStr">
        <is>
          <t>तेल लागलेला कॉटन वेस्ट / वापरलेले हातमोजे यांची धोकादायक कचरा म्हणून विल्हेवाट लावली जाते.</t>
        </is>
      </c>
    </row>
    <row r="42">
      <c r="A42" s="38" t="inlineStr">
        <is>
          <t>Sub-total 3S (out of 20)</t>
        </is>
      </c>
      <c r="B42" s="44" t="n"/>
      <c r="C42" s="43" t="n"/>
      <c r="D42" s="15">
        <f>SUM(D32:D41)</f>
        <v/>
      </c>
      <c r="E42" s="16" t="n"/>
      <c r="F42" s="16" t="n"/>
      <c r="G42" s="16" t="n"/>
    </row>
    <row r="43">
      <c r="A43" s="37" t="inlineStr">
        <is>
          <t>4S – SEIKETSU (STANDARDIZE)</t>
        </is>
      </c>
      <c r="B43" s="44" t="n"/>
      <c r="C43" s="44" t="n"/>
      <c r="D43" s="44" t="n"/>
      <c r="E43" s="43" t="n"/>
      <c r="F43" s="43" t="n"/>
      <c r="G43" s="43" t="n"/>
    </row>
    <row r="44" ht="27.75" customHeight="1">
      <c r="A44" s="2" t="n">
        <v>31</v>
      </c>
      <c r="B44" s="3" t="inlineStr">
        <is>
          <t>Preventive maintenance schedule for all machines is displayed and updated.</t>
        </is>
      </c>
      <c r="C44" s="11" t="n"/>
      <c r="D44" s="2">
        <f>IF(C44="Yes",2,0)</f>
        <v/>
      </c>
      <c r="E44" s="12" t="n"/>
      <c r="F44" s="45" t="inlineStr">
        <is>
          <t>सभी मशीनों का प्रिवेंटिव मेंटेनेंस शेड्यूल लगा है और अपडेट रहता है।</t>
        </is>
      </c>
      <c r="G44" s="45" t="inlineStr">
        <is>
          <t>सर्व मशीनचे प्रिव्हेंटिव्ह मेंटेनन्स वेळापत्रक लावलेले आहे आणि अद्ययावत ठेवले जाते.</t>
        </is>
      </c>
    </row>
    <row r="45" ht="27.75" customHeight="1">
      <c r="A45" s="2" t="n">
        <v>32</v>
      </c>
      <c r="B45" s="3" t="inlineStr">
        <is>
          <t>Standard formats for work orders, PM checklists and history cards are in use.</t>
        </is>
      </c>
      <c r="C45" s="11" t="n"/>
      <c r="D45" s="2">
        <f>IF(C45="Yes",2,0)</f>
        <v/>
      </c>
      <c r="E45" s="12" t="n"/>
      <c r="F45" s="45" t="inlineStr">
        <is>
          <t>वर्क ऑर्डर, PM चेकलिस्ट और हिस्ट्री कार्ड के मानक फ़ॉर्मेट उपयोग में हैं।</t>
        </is>
      </c>
      <c r="G45" s="45" t="inlineStr">
        <is>
          <t>वर्क ऑर्डर, PM चेकलिस्ट आणि हिस्ट्री कार्डचे प्रमाणित फॉरमॅट वापरात आहेत.</t>
        </is>
      </c>
    </row>
    <row r="46" ht="27.75" customHeight="1">
      <c r="A46" s="2" t="n">
        <v>33</v>
      </c>
      <c r="B46" s="3" t="inlineStr">
        <is>
          <t>Lubrication standards (type, quantity, frequency) are defined machine-wise.</t>
        </is>
      </c>
      <c r="C46" s="11" t="n"/>
      <c r="D46" s="2">
        <f>IF(C46="Yes",2,0)</f>
        <v/>
      </c>
      <c r="E46" s="12" t="n"/>
      <c r="F46" s="45" t="inlineStr">
        <is>
          <t>लुब्रिकेशन मानक (प्रकार, मात्रा, आवृत्ति) हर मशीन के लिए तय हैं।</t>
        </is>
      </c>
      <c r="G46" s="45" t="inlineStr">
        <is>
          <t>वंगणाचे (ल्युब्रिकेशन) मानक (प्रकार, प्रमाण, वारंवारता) प्रत्येक मशीनसाठी ठरलेले आहेत.</t>
        </is>
      </c>
    </row>
    <row r="47" ht="27.75" customHeight="1">
      <c r="A47" s="2" t="n">
        <v>34</v>
      </c>
      <c r="B47" s="3" t="inlineStr">
        <is>
          <t>Colour code standard for lubricants and containers is followed.</t>
        </is>
      </c>
      <c r="C47" s="11" t="n"/>
      <c r="D47" s="2">
        <f>IF(C47="Yes",2,0)</f>
        <v/>
      </c>
      <c r="E47" s="12" t="n"/>
      <c r="F47" s="45" t="inlineStr">
        <is>
          <t>लुब्रिकेंट और उनके डिब्बों के कलर-कोड मानक का पालन होता है।</t>
        </is>
      </c>
      <c r="G47" s="45" t="inlineStr">
        <is>
          <t>ल्युब्रिकंट आणि त्यांच्या डब्यांच्या कलर-कोड मानकाचे पालन होते.</t>
        </is>
      </c>
    </row>
    <row r="48" ht="27.75" customHeight="1">
      <c r="A48" s="2" t="n">
        <v>35</v>
      </c>
      <c r="B48" s="3" t="inlineStr">
        <is>
          <t>Calibration schedule for instruments is maintained with valid stickers.</t>
        </is>
      </c>
      <c r="C48" s="11" t="n"/>
      <c r="D48" s="2">
        <f>IF(C48="Yes",2,0)</f>
        <v/>
      </c>
      <c r="E48" s="12" t="n"/>
      <c r="F48" s="45" t="inlineStr">
        <is>
          <t>उपकरणों के कैलिब्रेशन का शेड्यूल बनाए रखा जाता है और स्टिकर वैध हैं।</t>
        </is>
      </c>
      <c r="G48" s="45" t="inlineStr">
        <is>
          <t>उपकरणांच्या कॅलिब्रेशनचे वेळापत्रक राखले जाते आणि स्टिकर वैध आहेत.</t>
        </is>
      </c>
    </row>
    <row r="49" ht="27.75" customHeight="1">
      <c r="A49" s="2" t="n">
        <v>36</v>
      </c>
      <c r="B49" s="3" t="inlineStr">
        <is>
          <t>LOTO (lock-out tag-out) procedure and hardware are standardized and available.</t>
        </is>
      </c>
      <c r="C49" s="11" t="n"/>
      <c r="D49" s="2">
        <f>IF(C49="Yes",2,0)</f>
        <v/>
      </c>
      <c r="E49" s="12" t="n"/>
      <c r="F49" s="45" t="inlineStr">
        <is>
          <t>LOTO (लॉक-आउट टैग-आउट) प्रक्रिया और उसका सामान मानकीकृत है और उपलब्ध है।</t>
        </is>
      </c>
      <c r="G49" s="45" t="inlineStr">
        <is>
          <t>LOTO (लॉक-आउट टॅग-आउट) प्रक्रिया आणि त्याचे साहित्य प्रमाणित आहे आणि उपलब्ध आहे.</t>
        </is>
      </c>
    </row>
    <row r="50" ht="27.75" customHeight="1">
      <c r="A50" s="2" t="n">
        <v>37</v>
      </c>
      <c r="B50" s="3" t="inlineStr">
        <is>
          <t>Standard for spare parts coding and storage is defined and followed.</t>
        </is>
      </c>
      <c r="C50" s="11" t="n"/>
      <c r="D50" s="2">
        <f>IF(C50="Yes",2,0)</f>
        <v/>
      </c>
      <c r="E50" s="12" t="n"/>
      <c r="F50" s="45" t="inlineStr">
        <is>
          <t>स्पेयर पार्ट्स की कोडिंग और भंडारण का मानक तय है और उसका पालन होता है।</t>
        </is>
      </c>
      <c r="G50" s="45" t="inlineStr">
        <is>
          <t>स्पेअर पार्ट्सचे कोडिंग आणि साठवण याचे मानक ठरलेले आहे आणि त्याचे पालन होते.</t>
        </is>
      </c>
    </row>
    <row r="51" ht="27.75" customHeight="1">
      <c r="A51" s="2" t="n">
        <v>38</v>
      </c>
      <c r="B51" s="3" t="inlineStr">
        <is>
          <t>Safety signage and PPE matrix for workshop jobs are displayed.</t>
        </is>
      </c>
      <c r="C51" s="11" t="n"/>
      <c r="D51" s="2">
        <f>IF(C51="Yes",2,0)</f>
        <v/>
      </c>
      <c r="E51" s="12" t="n"/>
      <c r="F51" s="45" t="inlineStr">
        <is>
          <t>वर्कशॉप के कामों के लिए सुरक्षा साइनबोर्ड और PPE मैट्रिक्स लगे हैं।</t>
        </is>
      </c>
      <c r="G51" s="45" t="inlineStr">
        <is>
          <t>वर्कशॉपमधील कामांसाठी सुरक्षा फलक आणि PPE मॅट्रिक्स लावलेले आहेत.</t>
        </is>
      </c>
    </row>
    <row r="52" ht="27.75" customHeight="1">
      <c r="A52" s="2" t="n">
        <v>39</v>
      </c>
      <c r="B52" s="3" t="inlineStr">
        <is>
          <t>Breakdown analysis format (why-why) is standardized and in use.</t>
        </is>
      </c>
      <c r="C52" s="11" t="n"/>
      <c r="D52" s="2">
        <f>IF(C52="Yes",2,0)</f>
        <v/>
      </c>
      <c r="E52" s="12" t="n"/>
      <c r="F52" s="45" t="inlineStr">
        <is>
          <t>ब्रेकडाउन विश्लेषण का फ़ॉर्मेट (क्यों-क्यों / why-why) मानकीकृत है और उपयोग में है।</t>
        </is>
      </c>
      <c r="G52" s="45" t="inlineStr">
        <is>
          <t>ब्रेकडाउन विश्लेषणाचा फॉरमॅट (का-का / why-why) प्रमाणित आहे आणि वापरात आहे.</t>
        </is>
      </c>
    </row>
    <row r="53" ht="27.75" customHeight="1">
      <c r="A53" s="2" t="n">
        <v>40</v>
      </c>
      <c r="B53" s="3" t="inlineStr">
        <is>
          <t>5S checklists and score board for the workshop are maintained.</t>
        </is>
      </c>
      <c r="C53" s="11" t="n"/>
      <c r="D53" s="2">
        <f>IF(C53="Yes",2,0)</f>
        <v/>
      </c>
      <c r="E53" s="12" t="n"/>
      <c r="F53" s="45" t="inlineStr">
        <is>
          <t>वर्कशॉप की 5S चेकलिस्ट और स्कोर बोर्ड बनाए रखे गए हैं।</t>
        </is>
      </c>
      <c r="G53" s="45" t="inlineStr">
        <is>
          <t>वर्कशॉपच्या 5S चेकलिस्ट आणि स्कोअर फलक अद्ययावत ठेवले आहेत.</t>
        </is>
      </c>
    </row>
    <row r="54">
      <c r="A54" s="38" t="inlineStr">
        <is>
          <t>Sub-total 4S (out of 20)</t>
        </is>
      </c>
      <c r="B54" s="44" t="n"/>
      <c r="C54" s="43" t="n"/>
      <c r="D54" s="15">
        <f>SUM(D44:D53)</f>
        <v/>
      </c>
      <c r="E54" s="16" t="n"/>
      <c r="F54" s="16" t="n"/>
      <c r="G54" s="16" t="n"/>
    </row>
    <row r="55">
      <c r="A55" s="37" t="inlineStr">
        <is>
          <t>5S – SHITSUKE (SUSTAIN)</t>
        </is>
      </c>
      <c r="B55" s="44" t="n"/>
      <c r="C55" s="44" t="n"/>
      <c r="D55" s="44" t="n"/>
      <c r="E55" s="43" t="n"/>
      <c r="F55" s="43" t="n"/>
      <c r="G55" s="43" t="n"/>
    </row>
    <row r="56" ht="27.75" customHeight="1">
      <c r="A56" s="2" t="n">
        <v>41</v>
      </c>
      <c r="B56" s="3" t="inlineStr">
        <is>
          <t>Maintenance staff are trained in 5S, LOTO and safe work practices.</t>
        </is>
      </c>
      <c r="C56" s="11" t="n"/>
      <c r="D56" s="2">
        <f>IF(C56="Yes",2,0)</f>
        <v/>
      </c>
      <c r="E56" s="12" t="n"/>
      <c r="F56" s="45" t="inlineStr">
        <is>
          <t>मेंटेनेंस कर्मचारी 5S, LOTO और सुरक्षित कार्य-पद्धतियों में प्रशिक्षित हैं।</t>
        </is>
      </c>
      <c r="G56" s="45" t="inlineStr">
        <is>
          <t>मेंटेनन्स कर्मचारी 5S, LOTO आणि सुरक्षित कार्यपद्धतींमध्ये प्रशिक्षित आहेत.</t>
        </is>
      </c>
    </row>
    <row r="57" ht="27.75" customHeight="1">
      <c r="A57" s="2" t="n">
        <v>42</v>
      </c>
      <c r="B57" s="3" t="inlineStr">
        <is>
          <t>PM compliance is tracked and achieved as per schedule.</t>
        </is>
      </c>
      <c r="C57" s="11" t="n"/>
      <c r="D57" s="2">
        <f>IF(C57="Yes",2,0)</f>
        <v/>
      </c>
      <c r="E57" s="12" t="n"/>
      <c r="F57" s="45" t="inlineStr">
        <is>
          <t>PM अनुपालन पर नज़र रखी जाती है और शेड्यूल के अनुसार पूरा होता है।</t>
        </is>
      </c>
      <c r="G57" s="45" t="inlineStr">
        <is>
          <t>PM पालनावर लक्ष ठेवले जाते आणि ते वेळापत्रकानुसार पूर्ण होते.</t>
        </is>
      </c>
    </row>
    <row r="58" ht="27.75" customHeight="1">
      <c r="A58" s="2" t="n">
        <v>43</v>
      </c>
      <c r="B58" s="3" t="inlineStr">
        <is>
          <t>Tools are accounted for at shift end (no missing tools).</t>
        </is>
      </c>
      <c r="C58" s="11" t="n"/>
      <c r="D58" s="2">
        <f>IF(C58="Yes",2,0)</f>
        <v/>
      </c>
      <c r="E58" s="12" t="n"/>
      <c r="F58" s="45" t="inlineStr">
        <is>
          <t>शिफ़्ट के अंत में सभी औज़ारों का हिसाब होता है (कोई औज़ार ग़ायब नहीं)।</t>
        </is>
      </c>
      <c r="G58" s="45" t="inlineStr">
        <is>
          <t>शिफ्टच्या शेवटी सर्व टूल्सचा हिशोब केला जातो (कोणतेही टूल गहाळ नाही).</t>
        </is>
      </c>
    </row>
    <row r="59" ht="27.75" customHeight="1">
      <c r="A59" s="2" t="n">
        <v>44</v>
      </c>
      <c r="B59" s="3" t="inlineStr">
        <is>
          <t>5S audits of the workshop are conducted as per schedule.</t>
        </is>
      </c>
      <c r="C59" s="11" t="n"/>
      <c r="D59" s="2">
        <f>IF(C59="Yes",2,0)</f>
        <v/>
      </c>
      <c r="E59" s="12" t="n"/>
      <c r="F59" s="45" t="inlineStr">
        <is>
          <t>वर्कशॉप के 5S ऑडिट शेड्यूल के अनुसार होते हैं।</t>
        </is>
      </c>
      <c r="G59" s="45" t="inlineStr">
        <is>
          <t>वर्कशॉपचे 5S ऑडिट वेळापत्रकानुसार होतात.</t>
        </is>
      </c>
    </row>
    <row r="60" ht="27.75" customHeight="1">
      <c r="A60" s="2" t="n">
        <v>45</v>
      </c>
      <c r="B60" s="3" t="inlineStr">
        <is>
          <t>Previous audit non-conformities are closed on time.</t>
        </is>
      </c>
      <c r="C60" s="11" t="n"/>
      <c r="D60" s="2">
        <f>IF(C60="Yes",2,0)</f>
        <v/>
      </c>
      <c r="E60" s="12" t="n"/>
      <c r="F60" s="45" t="inlineStr">
        <is>
          <t>पिछले ऑडिट की कमियाँ समय पर दूर की जाती हैं।</t>
        </is>
      </c>
      <c r="G60" s="45" t="inlineStr">
        <is>
          <t>मागील ऑडिटमधील त्रुटी वेळेत दूर केल्या जातात.</t>
        </is>
      </c>
    </row>
    <row r="61" ht="27.75" customHeight="1">
      <c r="A61" s="2" t="n">
        <v>46</v>
      </c>
      <c r="B61" s="3" t="inlineStr">
        <is>
          <t>Work permits (height, hot work, confined space) are followed without exception.</t>
        </is>
      </c>
      <c r="C61" s="11" t="n"/>
      <c r="D61" s="2">
        <f>IF(C61="Yes",2,0)</f>
        <v/>
      </c>
      <c r="E61" s="12" t="n"/>
      <c r="F61" s="45" t="inlineStr">
        <is>
          <t>वर्क परमिट (ऊँचाई पर काम, हॉट वर्क, बंद जगह में काम) का बिना किसी अपवाद के पालन होता है।</t>
        </is>
      </c>
      <c r="G61" s="45" t="inlineStr">
        <is>
          <t>वर्क परमिटचे (उंचीवरील काम, हॉट वर्क, बंदिस्त जागेतील काम) कोणताही अपवाद न करता पालन होते.</t>
        </is>
      </c>
    </row>
    <row r="62" ht="27.75" customHeight="1">
      <c r="A62" s="2" t="n">
        <v>47</v>
      </c>
      <c r="B62" s="3" t="inlineStr">
        <is>
          <t>Breakdown records and history cards are updated in real time.</t>
        </is>
      </c>
      <c r="C62" s="11" t="n"/>
      <c r="D62" s="2">
        <f>IF(C62="Yes",2,0)</f>
        <v/>
      </c>
      <c r="E62" s="12" t="n"/>
      <c r="F62" s="45" t="inlineStr">
        <is>
          <t>ब्रेकडाउन रिकॉर्ड और हिस्ट्री कार्ड उसी समय अपडेट किए जाते हैं।</t>
        </is>
      </c>
      <c r="G62" s="45" t="inlineStr">
        <is>
          <t>ब्रेकडाउन नोंदी आणि हिस्ट्री कार्ड त्याच वेळी अद्ययावत केले जातात.</t>
        </is>
      </c>
    </row>
    <row r="63" ht="27.75" customHeight="1">
      <c r="A63" s="2" t="n">
        <v>48</v>
      </c>
      <c r="B63" s="3" t="inlineStr">
        <is>
          <t>Improvement / kaizen ideas from technicians are generated and implemented.</t>
        </is>
      </c>
      <c r="C63" s="11" t="n"/>
      <c r="D63" s="2">
        <f>IF(C63="Yes",2,0)</f>
        <v/>
      </c>
      <c r="E63" s="12" t="n"/>
      <c r="F63" s="45" t="inlineStr">
        <is>
          <t>तकनीशियनों से सुधार / काइज़ेन के विचार आते हैं और लागू किए जाते हैं।</t>
        </is>
      </c>
      <c r="G63" s="45" t="inlineStr">
        <is>
          <t>तंत्रज्ञांकडून सुधारणा / कायझेनच्या कल्पना येतात आणि अंमलात आणल्या जातात.</t>
        </is>
      </c>
    </row>
    <row r="64" ht="27.75" customHeight="1">
      <c r="A64" s="2" t="n">
        <v>49</v>
      </c>
      <c r="B64" s="3" t="inlineStr">
        <is>
          <t>Workshop discipline is maintained even during breakdown pressure.</t>
        </is>
      </c>
      <c r="C64" s="11" t="n"/>
      <c r="D64" s="2">
        <f>IF(C64="Yes",2,0)</f>
        <v/>
      </c>
      <c r="E64" s="12" t="n"/>
      <c r="F64" s="45" t="inlineStr">
        <is>
          <t>ब्रेकडाउन के दबाव के समय भी वर्कशॉप का अनुशासन बना रहता है।</t>
        </is>
      </c>
      <c r="G64" s="45" t="inlineStr">
        <is>
          <t>ब्रेकडाउनचा ताण असतानाही वर्कशॉपची शिस्त टिकून राहते.</t>
        </is>
      </c>
    </row>
    <row r="65" ht="27.75" customHeight="1">
      <c r="A65" s="2" t="n">
        <v>50</v>
      </c>
      <c r="B65" s="3" t="inlineStr">
        <is>
          <t>Workshop 5S score trend is stable or improving over the last 3 audits.</t>
        </is>
      </c>
      <c r="C65" s="11" t="n"/>
      <c r="D65" s="2">
        <f>IF(C65="Yes",2,0)</f>
        <v/>
      </c>
      <c r="E65" s="12" t="n"/>
      <c r="F65" s="45" t="inlineStr">
        <is>
          <t>पिछले 3 ऑडिट में वर्कशॉप का 5S स्कोर स्थिर है या बेहतर हो रहा है।</t>
        </is>
      </c>
      <c r="G65" s="45" t="inlineStr">
        <is>
          <t>मागील 3 ऑडिटमध्ये वर्कशॉपचा 5S स्कोअर स्थिर आहे किंवा सुधारत आहे.</t>
        </is>
      </c>
    </row>
    <row r="66">
      <c r="A66" s="38" t="inlineStr">
        <is>
          <t>Sub-total 5S (out of 20)</t>
        </is>
      </c>
      <c r="B66" s="44" t="n"/>
      <c r="C66" s="43" t="n"/>
      <c r="D66" s="15">
        <f>SUM(D56:D65)</f>
        <v/>
      </c>
      <c r="E66" s="16" t="n"/>
      <c r="F66" s="16" t="n"/>
      <c r="G66" s="16" t="n"/>
    </row>
    <row r="67">
      <c r="A67" s="39" t="inlineStr">
        <is>
          <t>TOTAL SCORE (out of 100)</t>
        </is>
      </c>
      <c r="B67" s="44" t="n"/>
      <c r="C67" s="43" t="n"/>
      <c r="D67" s="17">
        <f>D18+D30+D42+D54+D66</f>
        <v/>
      </c>
      <c r="E67" s="10" t="n"/>
      <c r="F67" s="10" t="n"/>
      <c r="G67" s="10" t="n"/>
    </row>
    <row r="68">
      <c r="A68" s="40" t="inlineStr">
        <is>
          <t>PERCENTAGE</t>
        </is>
      </c>
      <c r="B68" s="44" t="n"/>
      <c r="C68" s="43" t="n"/>
      <c r="D68" s="18">
        <f>D67/100</f>
        <v/>
      </c>
      <c r="E68" s="19" t="n"/>
      <c r="F68" s="19" t="n"/>
      <c r="G68" s="19" t="n"/>
    </row>
    <row r="69">
      <c r="A69" s="40" t="inlineStr">
        <is>
          <t>RATING</t>
        </is>
      </c>
      <c r="B69" s="44" t="n"/>
      <c r="C69" s="43" t="n"/>
      <c r="D69" s="21">
        <f>IF(D68&gt;=0.9,"Outstanding",IF(D68&gt;=0.75,"On Track",IF(D68&gt;=0.6,"Improving","Needs Support")))</f>
        <v/>
      </c>
      <c r="E69" s="19" t="n"/>
      <c r="F69" s="19" t="n"/>
      <c r="G69" s="19" t="n"/>
    </row>
    <row r="70"/>
    <row r="71">
      <c r="A71" s="36" t="inlineStr">
        <is>
          <t>Rating scale:  ≥ 90% Outstanding  |  75–89% On Track  |  60–74% Improving  |  &lt; 60% Needs Support.  Points scored 'No' must be entered in the corrective action tracker.</t>
        </is>
      </c>
    </row>
    <row r="72"/>
    <row r="73">
      <c r="B73" s="20" t="inlineStr">
        <is>
          <t>Auditor Signature: ______________________</t>
        </is>
      </c>
      <c r="E73" s="20" t="inlineStr">
        <is>
          <t>Area Owner Signature: ______________________</t>
        </is>
      </c>
      <c r="F73" s="20" t="n"/>
      <c r="G73" s="20" t="n"/>
    </row>
    <row r="74">
      <c r="A74" s="22" t="inlineStr">
        <is>
          <t>Prepared by AB Associates, Nashik.</t>
        </is>
      </c>
    </row>
  </sheetData>
  <mergeCells count="16">
    <mergeCell ref="A42:C42"/>
    <mergeCell ref="A55:E55"/>
    <mergeCell ref="A68:C68"/>
    <mergeCell ref="A66:C66"/>
    <mergeCell ref="A43:E43"/>
    <mergeCell ref="A7:E7"/>
    <mergeCell ref="A19:E19"/>
    <mergeCell ref="A71:E71"/>
    <mergeCell ref="A18:C18"/>
    <mergeCell ref="A67:C67"/>
    <mergeCell ref="A1:E1"/>
    <mergeCell ref="A30:C30"/>
    <mergeCell ref="A69:C69"/>
    <mergeCell ref="A31:E31"/>
    <mergeCell ref="A54:C54"/>
    <mergeCell ref="E2:E4"/>
  </mergeCells>
  <dataValidations count="1">
    <dataValidation sqref="C8:C17 C20:C29 C32:C41 C44:C53 C56:C65" showDropDown="0" showInputMessage="0" showErrorMessage="1" allowBlank="1" errorTitle="Invalid entry" error="Please select Yes or No" type="list">
      <formula1>"Yes,No"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G74"/>
  <sheetViews>
    <sheetView showGridLines="0" zoomScaleNormal="100" workbookViewId="0">
      <selection activeCell="A74" sqref="A74"/>
    </sheetView>
  </sheetViews>
  <sheetFormatPr baseColWidth="8" defaultColWidth="8.5703125" defaultRowHeight="15"/>
  <cols>
    <col width="6" customWidth="1" min="1" max="1"/>
    <col width="68" customWidth="1" min="2" max="2"/>
    <col width="12" customWidth="1" min="3" max="3"/>
    <col width="9" customWidth="1" min="4" max="4"/>
    <col width="32" customWidth="1" min="5" max="5"/>
    <col width="60" customWidth="1" min="6" max="6"/>
    <col width="60" customWidth="1" min="7" max="7"/>
  </cols>
  <sheetData>
    <row r="1" ht="25.5" customHeight="1">
      <c r="A1" s="29" t="inlineStr">
        <is>
          <t>5S AUDIT CHECK SHEET – PREMISES</t>
        </is>
      </c>
    </row>
    <row r="2" ht="15" customHeight="1">
      <c r="A2" s="14" t="inlineStr">
        <is>
          <t>Company:</t>
        </is>
      </c>
      <c r="B2" s="13" t="n"/>
      <c r="C2" s="14" t="inlineStr">
        <is>
          <t>Audit Date:</t>
        </is>
      </c>
      <c r="D2" s="13" t="n"/>
      <c r="E2" s="41" t="inlineStr">
        <is>
          <t>Scoring: Yes = 2 marks, No = 0 marks.
Max score = 100.</t>
        </is>
      </c>
    </row>
    <row r="3">
      <c r="A3" s="14" t="inlineStr">
        <is>
          <t>Area / Dept.:</t>
        </is>
      </c>
      <c r="B3" s="13" t="inlineStr">
        <is>
          <t>Premises</t>
        </is>
      </c>
      <c r="C3" s="14" t="inlineStr">
        <is>
          <t>Auditor Name:</t>
        </is>
      </c>
      <c r="D3" s="13" t="n"/>
    </row>
    <row r="4">
      <c r="A4" s="14" t="inlineStr">
        <is>
          <t>Shift:</t>
        </is>
      </c>
      <c r="B4" s="13" t="n"/>
      <c r="C4" s="14" t="inlineStr">
        <is>
          <t>Auditee / Area Owner:</t>
        </is>
      </c>
      <c r="D4" s="13" t="n"/>
    </row>
    <row r="5"/>
    <row r="6" ht="19.5" customHeight="1">
      <c r="A6" s="1" t="inlineStr">
        <is>
          <t>Sr.</t>
        </is>
      </c>
      <c r="B6" s="1" t="inlineStr">
        <is>
          <t>Check Point</t>
        </is>
      </c>
      <c r="C6" s="1" t="inlineStr">
        <is>
          <t>Yes / No</t>
        </is>
      </c>
      <c r="D6" s="1" t="inlineStr">
        <is>
          <t>Marks</t>
        </is>
      </c>
      <c r="E6" s="1" t="inlineStr">
        <is>
          <t>Remarks / Observations</t>
        </is>
      </c>
      <c r="F6" s="1" t="inlineStr">
        <is>
          <t>Check Point (Hindi)</t>
        </is>
      </c>
      <c r="G6" s="1" t="inlineStr">
        <is>
          <t>Check Point (Marathi)</t>
        </is>
      </c>
    </row>
    <row r="7">
      <c r="A7" s="37" t="inlineStr">
        <is>
          <t>1S – SEIRI (SORT)</t>
        </is>
      </c>
      <c r="B7" s="44" t="n"/>
      <c r="C7" s="44" t="n"/>
      <c r="D7" s="44" t="n"/>
      <c r="E7" s="43" t="n"/>
      <c r="F7" s="43" t="n"/>
      <c r="G7" s="43" t="n"/>
    </row>
    <row r="8" ht="27.75" customHeight="1">
      <c r="A8" s="2" t="n">
        <v>1</v>
      </c>
      <c r="B8" s="3" t="inlineStr">
        <is>
          <t>No scrap, unused equipment or construction debris is lying in open areas.</t>
        </is>
      </c>
      <c r="C8" s="11" t="n"/>
      <c r="D8" s="2">
        <f>IF(C8="Yes",2,0)</f>
        <v/>
      </c>
      <c r="E8" s="12" t="n"/>
      <c r="F8" s="45" t="inlineStr">
        <is>
          <t>खुले क्षेत्रों में कोई स्क्रैप, इस्तेमाल में न आने वाले उपकरण या निर्माण का मलबा नहीं पड़ा है।</t>
        </is>
      </c>
      <c r="G8" s="45" t="inlineStr">
        <is>
          <t>मोकळ्या जागेत कोणतेही स्क्रॅप, न वापरलेली उपकरणे किंवा बांधकामाचा राडारोडा पडलेला नाही.</t>
        </is>
      </c>
    </row>
    <row r="9" ht="27.75" customHeight="1">
      <c r="A9" s="2" t="n">
        <v>2</v>
      </c>
      <c r="B9" s="3" t="inlineStr">
        <is>
          <t>The scrap yard is demarcated; scrap is only within the yard, sorted by type.</t>
        </is>
      </c>
      <c r="C9" s="11" t="n"/>
      <c r="D9" s="2">
        <f>IF(C9="Yes",2,0)</f>
        <v/>
      </c>
      <c r="E9" s="12" t="n"/>
      <c r="F9" s="45" t="inlineStr">
        <is>
          <t>स्क्रैप यार्ड चिह्नित है; स्क्रैप केवल यार्ड के अंदर है और प्रकार के अनुसार छाँटकर रखा है।</t>
        </is>
      </c>
      <c r="G9" s="45" t="inlineStr">
        <is>
          <t>स्क्रॅप यार्ड आखलेले आहे; स्क्रॅप फक्त यार्डच्या आत आहे आणि प्रकारानुसार वेगळे करून ठेवलेले आहे.</t>
        </is>
      </c>
    </row>
    <row r="10" ht="27.75" customHeight="1">
      <c r="A10" s="2" t="n">
        <v>3</v>
      </c>
      <c r="B10" s="3" t="inlineStr">
        <is>
          <t>Unused vehicles / trolleys are not abandoned in the premises.</t>
        </is>
      </c>
      <c r="C10" s="11" t="n"/>
      <c r="D10" s="2">
        <f>IF(C10="Yes",2,0)</f>
        <v/>
      </c>
      <c r="E10" s="12" t="n"/>
      <c r="F10" s="45" t="inlineStr">
        <is>
          <t>परिसर में इस्तेमाल में न आने वाली गाड़ियाँ / ट्रॉलियाँ लावारिस नहीं छोड़ी गई हैं।</t>
        </is>
      </c>
      <c r="G10" s="45" t="inlineStr">
        <is>
          <t>परिसरात न वापरलेली वाहने / ट्रॉली बेवारस सोडलेली नाहीत.</t>
        </is>
      </c>
    </row>
    <row r="11" ht="27.75" customHeight="1">
      <c r="A11" s="2" t="n">
        <v>4</v>
      </c>
      <c r="B11" s="3" t="inlineStr">
        <is>
          <t>No unwanted vegetation overgrowth around buildings and boundaries.</t>
        </is>
      </c>
      <c r="C11" s="11" t="n"/>
      <c r="D11" s="2">
        <f>IF(C11="Yes",2,0)</f>
        <v/>
      </c>
      <c r="E11" s="12" t="n"/>
      <c r="F11" s="45" t="inlineStr">
        <is>
          <t>इमारतों और चारदीवारी के आसपास अनावश्यक झाड़ियाँ / घास बढ़ी हुई नहीं है।</t>
        </is>
      </c>
      <c r="G11" s="45" t="inlineStr">
        <is>
          <t>इमारती आणि कुंपणाभोवती अनावश्यक झुडपे / गवत वाढलेले नाही.</t>
        </is>
      </c>
    </row>
    <row r="12" ht="27.75" customHeight="1">
      <c r="A12" s="2" t="n">
        <v>5</v>
      </c>
      <c r="B12" s="3" t="inlineStr">
        <is>
          <t>Drain covers, gratings and paver blocks are intact; broken ones replaced.</t>
        </is>
      </c>
      <c r="C12" s="11" t="n"/>
      <c r="D12" s="2">
        <f>IF(C12="Yes",2,0)</f>
        <v/>
      </c>
      <c r="E12" s="12" t="n"/>
      <c r="F12" s="45" t="inlineStr">
        <is>
          <t>नाली के ढक्कन, जालियाँ और पेवर ब्लॉक सही-सलामत हैं; टूटे हुए बदल दिए गए हैं।</t>
        </is>
      </c>
      <c r="G12" s="45" t="inlineStr">
        <is>
          <t>नाल्यांची झाकणे, जाळ्या आणि पेव्हर ब्लॉक सुस्थितीत आहेत; तुटलेले बदलले आहेत.</t>
        </is>
      </c>
    </row>
    <row r="13" ht="27.75" customHeight="1">
      <c r="A13" s="2" t="n">
        <v>6</v>
      </c>
      <c r="B13" s="3" t="inlineStr">
        <is>
          <t>No accumulated garbage or littering in open areas.</t>
        </is>
      </c>
      <c r="C13" s="11" t="n"/>
      <c r="D13" s="2">
        <f>IF(C13="Yes",2,0)</f>
        <v/>
      </c>
      <c r="E13" s="12" t="n"/>
      <c r="F13" s="45" t="inlineStr">
        <is>
          <t>खुले क्षेत्रों में कूड़ा जमा नहीं है और गंदगी नहीं फैलाई गई है।</t>
        </is>
      </c>
      <c r="G13" s="45" t="inlineStr">
        <is>
          <t>मोकळ्या जागेत कचरा साचलेला नाही आणि घाण पसरवलेली नाही.</t>
        </is>
      </c>
    </row>
    <row r="14" ht="27.75" customHeight="1">
      <c r="A14" s="2" t="n">
        <v>7</v>
      </c>
      <c r="B14" s="3" t="inlineStr">
        <is>
          <t>Old banners, damaged signboards and posters are removed.</t>
        </is>
      </c>
      <c r="C14" s="11" t="n"/>
      <c r="D14" s="2">
        <f>IF(C14="Yes",2,0)</f>
        <v/>
      </c>
      <c r="E14" s="12" t="n"/>
      <c r="F14" s="45" t="inlineStr">
        <is>
          <t>पुराने बैनर, टूटे साइनबोर्ड और पोस्टर हटा दिए गए हैं।</t>
        </is>
      </c>
      <c r="G14" s="45" t="inlineStr">
        <is>
          <t>जुने बॅनर, तुटलेले फलक आणि पोस्टर काढून टाकले आहेत.</t>
        </is>
      </c>
    </row>
    <row r="15" ht="27.75" customHeight="1">
      <c r="A15" s="2" t="n">
        <v>8</v>
      </c>
      <c r="B15" s="3" t="inlineStr">
        <is>
          <t>Material storage in open areas is only in designated, approved locations.</t>
        </is>
      </c>
      <c r="C15" s="11" t="n"/>
      <c r="D15" s="2">
        <f>IF(C15="Yes",2,0)</f>
        <v/>
      </c>
      <c r="E15" s="12" t="n"/>
      <c r="F15" s="45" t="inlineStr">
        <is>
          <t>खुले क्षेत्रों में सामान केवल तय, स्वीकृत जगहों पर ही रखा जाता है।</t>
        </is>
      </c>
      <c r="G15" s="45" t="inlineStr">
        <is>
          <t>मोकळ्या जागेत सामान फक्त ठरलेल्या, मंजूर जागीच ठेवले जाते.</t>
        </is>
      </c>
    </row>
    <row r="16" ht="27.75" customHeight="1">
      <c r="A16" s="2" t="n">
        <v>9</v>
      </c>
      <c r="B16" s="3" t="inlineStr">
        <is>
          <t>Roof tops and terraces are free of unwanted material.</t>
        </is>
      </c>
      <c r="C16" s="11" t="n"/>
      <c r="D16" s="2">
        <f>IF(C16="Yes",2,0)</f>
        <v/>
      </c>
      <c r="E16" s="12" t="n"/>
      <c r="F16" s="45" t="inlineStr">
        <is>
          <t>छतों और टैरेस पर कोई अनावश्यक सामान नहीं है।</t>
        </is>
      </c>
      <c r="G16" s="45" t="inlineStr">
        <is>
          <t>छतांवर आणि गच्चीवर कोणतेही अनावश्यक सामान नाही.</t>
        </is>
      </c>
    </row>
    <row r="17" ht="27.75" customHeight="1">
      <c r="A17" s="2" t="n">
        <v>10</v>
      </c>
      <c r="B17" s="3" t="inlineStr">
        <is>
          <t>A disposal plan for yard scrap exists and lifting is done at defined frequency.</t>
        </is>
      </c>
      <c r="C17" s="11" t="n"/>
      <c r="D17" s="2">
        <f>IF(C17="Yes",2,0)</f>
        <v/>
      </c>
      <c r="E17" s="12" t="n"/>
      <c r="F17" s="45" t="inlineStr">
        <is>
          <t>यार्ड के स्क्रैप के निपटान की योजना है और तय अंतराल पर उठाया जाता है।</t>
        </is>
      </c>
      <c r="G17" s="45" t="inlineStr">
        <is>
          <t>यार्डमधील स्क्रॅपच्या विल्हेवाटीची योजना आहे आणि ते ठरलेल्या अंतराने उचलले जाते.</t>
        </is>
      </c>
    </row>
    <row r="18">
      <c r="A18" s="38" t="inlineStr">
        <is>
          <t>Sub-total 1S (out of 20)</t>
        </is>
      </c>
      <c r="B18" s="44" t="n"/>
      <c r="C18" s="43" t="n"/>
      <c r="D18" s="15">
        <f>SUM(D8:D17)</f>
        <v/>
      </c>
      <c r="E18" s="16" t="n"/>
      <c r="F18" s="16" t="n"/>
      <c r="G18" s="16" t="n"/>
    </row>
    <row r="19">
      <c r="A19" s="37" t="inlineStr">
        <is>
          <t>2S – SEITON (SET IN ORDER)</t>
        </is>
      </c>
      <c r="B19" s="44" t="n"/>
      <c r="C19" s="44" t="n"/>
      <c r="D19" s="44" t="n"/>
      <c r="E19" s="43" t="n"/>
      <c r="F19" s="43" t="n"/>
      <c r="G19" s="43" t="n"/>
    </row>
    <row r="20" ht="27.75" customHeight="1">
      <c r="A20" s="2" t="n">
        <v>11</v>
      </c>
      <c r="B20" s="3" t="inlineStr">
        <is>
          <t>Roads and pathways are marked with lane discipline where required.</t>
        </is>
      </c>
      <c r="C20" s="11" t="n"/>
      <c r="D20" s="2">
        <f>IF(C20="Yes",2,0)</f>
        <v/>
      </c>
      <c r="E20" s="12" t="n"/>
      <c r="F20" s="45" t="inlineStr">
        <is>
          <t>जहाँ ज़रूरी है वहाँ सड़कों और रास्तों पर लेन अनुशासन के लिए मार्किंग है।</t>
        </is>
      </c>
      <c r="G20" s="45" t="inlineStr">
        <is>
          <t>आवश्यक तिथे रस्ते आणि मार्गांवर लेन शिस्तीसाठी मार्किंग केलेली आहे.</t>
        </is>
      </c>
    </row>
    <row r="21" ht="27.75" customHeight="1">
      <c r="A21" s="2" t="n">
        <v>12</v>
      </c>
      <c r="B21" s="3" t="inlineStr">
        <is>
          <t>Parking areas for cars, two-wheelers and trucks are marked and used correctly.</t>
        </is>
      </c>
      <c r="C21" s="11" t="n"/>
      <c r="D21" s="2">
        <f>IF(C21="Yes",2,0)</f>
        <v/>
      </c>
      <c r="E21" s="12" t="n"/>
      <c r="F21" s="45" t="inlineStr">
        <is>
          <t>कारों, दोपहिया वाहनों और ट्रकों के पार्किंग क्षेत्र चिह्नित हैं और उनका सही उपयोग होता है।</t>
        </is>
      </c>
      <c r="G21" s="45" t="inlineStr">
        <is>
          <t>कार, दुचाकी आणि ट्रकसाठी पार्किंग क्षेत्रे आखलेली आहेत आणि त्यांचा योग्य वापर होतो.</t>
        </is>
      </c>
    </row>
    <row r="22" ht="27.75" customHeight="1">
      <c r="A22" s="2" t="n">
        <v>13</v>
      </c>
      <c r="B22" s="3" t="inlineStr">
        <is>
          <t>Direction signboards to departments / blocks are installed and visible.</t>
        </is>
      </c>
      <c r="C22" s="11" t="n"/>
      <c r="D22" s="2">
        <f>IF(C22="Yes",2,0)</f>
        <v/>
      </c>
      <c r="E22" s="12" t="n"/>
      <c r="F22" s="45" t="inlineStr">
        <is>
          <t>विभागों / ब्लॉकों तक पहुँचने के दिशा-सूचक बोर्ड लगे हैं और दिखाई देते हैं।</t>
        </is>
      </c>
      <c r="G22" s="45" t="inlineStr">
        <is>
          <t>विभाग / ब्लॉककडे जाण्याचे दिशादर्शक फलक लावलेले आहेत आणि दिसतात.</t>
        </is>
      </c>
    </row>
    <row r="23" ht="27.75" customHeight="1">
      <c r="A23" s="2" t="n">
        <v>14</v>
      </c>
      <c r="B23" s="3" t="inlineStr">
        <is>
          <t>Fire hydrants, extinguisher points and assembly points are marked and unobstructed.</t>
        </is>
      </c>
      <c r="C23" s="11" t="n"/>
      <c r="D23" s="2">
        <f>IF(C23="Yes",2,0)</f>
        <v/>
      </c>
      <c r="E23" s="12" t="n"/>
      <c r="F23" s="45" t="inlineStr">
        <is>
          <t>फ़ायर हाइड्रेंट, अग्निशामक (एक्सटिंग्विशर) स्थान और एकत्र होने के स्थान चिह्नित हैं और बिना रुकावट हैं।</t>
        </is>
      </c>
      <c r="G23" s="45" t="inlineStr">
        <is>
          <t>फायर हायड्रंट, अग्निशामक (एक्स्टिंग्विशर) ठिकाणे आणि एकत्र जमण्याची ठिकाणे आखलेली आहेत आणि अडथळाविरहित आहेत.</t>
        </is>
      </c>
    </row>
    <row r="24" ht="27.75" customHeight="1">
      <c r="A24" s="2" t="n">
        <v>15</v>
      </c>
      <c r="B24" s="3" t="inlineStr">
        <is>
          <t>Security cabin has organized registers, keys and visitor management materials.</t>
        </is>
      </c>
      <c r="C24" s="11" t="n"/>
      <c r="D24" s="2">
        <f>IF(C24="Yes",2,0)</f>
        <v/>
      </c>
      <c r="E24" s="12" t="n"/>
      <c r="F24" s="45" t="inlineStr">
        <is>
          <t>सिक्योरिटी केबिन में रजिस्टर, चाबियाँ और आगंतुक प्रबंधन की सामग्री व्यवस्थित है।</t>
        </is>
      </c>
      <c r="G24" s="45" t="inlineStr">
        <is>
          <t>सिक्युरिटी केबिनमध्ये रजिस्टर, चाव्या आणि अभ्यागत व्यवस्थापनाचे साहित्य व्यवस्थित आहे.</t>
        </is>
      </c>
    </row>
    <row r="25" ht="27.75" customHeight="1">
      <c r="A25" s="2" t="n">
        <v>16</v>
      </c>
      <c r="B25" s="3" t="inlineStr">
        <is>
          <t>Waste collection points are designated with segregated, labelled containers.</t>
        </is>
      </c>
      <c r="C25" s="11" t="n"/>
      <c r="D25" s="2">
        <f>IF(C25="Yes",2,0)</f>
        <v/>
      </c>
      <c r="E25" s="12" t="n"/>
      <c r="F25" s="45" t="inlineStr">
        <is>
          <t>कचरा इकट्ठा करने की जगहें तय हैं, जहाँ अलग-अलग कचरे के लिए लेबल लगे डिब्बे रखे हैं।</t>
        </is>
      </c>
      <c r="G25" s="45" t="inlineStr">
        <is>
          <t>कचरा गोळा करण्याच्या जागा ठरलेल्या आहेत, जिथे वेगवेगळ्या कचऱ्यासाठी लेबल लावलेले डबे ठेवलेले आहेत.</t>
        </is>
      </c>
    </row>
    <row r="26" ht="27.75" customHeight="1">
      <c r="A26" s="2" t="n">
        <v>17</v>
      </c>
      <c r="B26" s="3" t="inlineStr">
        <is>
          <t>Cycle / trolley stands and shelters are designated and used.</t>
        </is>
      </c>
      <c r="C26" s="11" t="n"/>
      <c r="D26" s="2">
        <f>IF(C26="Yes",2,0)</f>
        <v/>
      </c>
      <c r="E26" s="12" t="n"/>
      <c r="F26" s="45" t="inlineStr">
        <is>
          <t>साइकल / ट्रॉली स्टैंड और शेड तय हैं और उनका उपयोग होता है।</t>
        </is>
      </c>
      <c r="G26" s="45" t="inlineStr">
        <is>
          <t>सायकल / ट्रॉली स्टँड आणि शेड ठरलेले आहेत आणि त्यांचा वापर होतो.</t>
        </is>
      </c>
    </row>
    <row r="27" ht="27.75" customHeight="1">
      <c r="A27" s="2" t="n">
        <v>18</v>
      </c>
      <c r="B27" s="3" t="inlineStr">
        <is>
          <t>Truck waiting and loading / unloading areas are demarcated.</t>
        </is>
      </c>
      <c r="C27" s="11" t="n"/>
      <c r="D27" s="2">
        <f>IF(C27="Yes",2,0)</f>
        <v/>
      </c>
      <c r="E27" s="12" t="n"/>
      <c r="F27" s="45" t="inlineStr">
        <is>
          <t>ट्रकों के इंतज़ार और माल चढ़ाने / उतारने के क्षेत्र चिह्नित हैं।</t>
        </is>
      </c>
      <c r="G27" s="45" t="inlineStr">
        <is>
          <t>ट्रक थांबण्याची आणि माल चढवण्याची / उतरवण्याची क्षेत्रे आखलेली आहेत.</t>
        </is>
      </c>
    </row>
    <row r="28" ht="27.75" customHeight="1">
      <c r="A28" s="2" t="n">
        <v>19</v>
      </c>
      <c r="B28" s="3" t="inlineStr">
        <is>
          <t>Garden equipment and housekeeping materials have designated storage.</t>
        </is>
      </c>
      <c r="C28" s="11" t="n"/>
      <c r="D28" s="2">
        <f>IF(C28="Yes",2,0)</f>
        <v/>
      </c>
      <c r="E28" s="12" t="n"/>
      <c r="F28" s="45" t="inlineStr">
        <is>
          <t>बागवानी के उपकरण और साफ़-सफ़ाई की सामग्री के लिए तय भंडारण जगह है।</t>
        </is>
      </c>
      <c r="G28" s="45" t="inlineStr">
        <is>
          <t>बागकामाची उपकरणे आणि स्वच्छतेच्या साहित्यासाठी ठरलेली साठवण जागा आहे.</t>
        </is>
      </c>
    </row>
    <row r="29" ht="27.75" customHeight="1">
      <c r="A29" s="2" t="n">
        <v>20</v>
      </c>
      <c r="B29" s="3" t="inlineStr">
        <is>
          <t>Main gate area is organized – barriers, weighbridge and displays in order.</t>
        </is>
      </c>
      <c r="C29" s="11" t="n"/>
      <c r="D29" s="2">
        <f>IF(C29="Yes",2,0)</f>
        <v/>
      </c>
      <c r="E29" s="12" t="n"/>
      <c r="F29" s="45" t="inlineStr">
        <is>
          <t>मुख्य गेट क्षेत्र व्यवस्थित है – बैरियर, धर्मकाँटा (वेब्रिज) और डिस्प्ले ठीक हालत में हैं।</t>
        </is>
      </c>
      <c r="G29" s="45" t="inlineStr">
        <is>
          <t>मुख्य गेट परिसर व्यवस्थित आहे – बॅरियर, वजनकाटा (वेब्रिज) आणि डिस्प्ले योग्य स्थितीत आहेत.</t>
        </is>
      </c>
    </row>
    <row r="30">
      <c r="A30" s="38" t="inlineStr">
        <is>
          <t>Sub-total 2S (out of 20)</t>
        </is>
      </c>
      <c r="B30" s="44" t="n"/>
      <c r="C30" s="43" t="n"/>
      <c r="D30" s="15">
        <f>SUM(D20:D29)</f>
        <v/>
      </c>
      <c r="E30" s="16" t="n"/>
      <c r="F30" s="16" t="n"/>
      <c r="G30" s="16" t="n"/>
    </row>
    <row r="31">
      <c r="A31" s="37" t="inlineStr">
        <is>
          <t>3S – SEISO (SHINE)</t>
        </is>
      </c>
      <c r="B31" s="44" t="n"/>
      <c r="C31" s="44" t="n"/>
      <c r="D31" s="44" t="n"/>
      <c r="E31" s="43" t="n"/>
      <c r="F31" s="43" t="n"/>
      <c r="G31" s="43" t="n"/>
    </row>
    <row r="32" ht="27.75" customHeight="1">
      <c r="A32" s="2" t="n">
        <v>21</v>
      </c>
      <c r="B32" s="3" t="inlineStr">
        <is>
          <t>Roads and open areas are clean and swept regularly.</t>
        </is>
      </c>
      <c r="C32" s="11" t="n"/>
      <c r="D32" s="2">
        <f>IF(C32="Yes",2,0)</f>
        <v/>
      </c>
      <c r="E32" s="12" t="n"/>
      <c r="F32" s="45" t="inlineStr">
        <is>
          <t>सड़कें और खुले क्षेत्र साफ़ हैं और नियमित रूप से झाड़ू लगाई जाती है।</t>
        </is>
      </c>
      <c r="G32" s="45" t="inlineStr">
        <is>
          <t>रस्ते आणि मोकळ्या जागा स्वच्छ आहेत आणि नियमितपणे झाडल्या जातात.</t>
        </is>
      </c>
    </row>
    <row r="33" ht="27.75" customHeight="1">
      <c r="A33" s="2" t="n">
        <v>22</v>
      </c>
      <c r="B33" s="3" t="inlineStr">
        <is>
          <t>Storm water drains are clean, covered and free-flowing (no blockage).</t>
        </is>
      </c>
      <c r="C33" s="11" t="n"/>
      <c r="D33" s="2">
        <f>IF(C33="Yes",2,0)</f>
        <v/>
      </c>
      <c r="E33" s="12" t="n"/>
      <c r="F33" s="45" t="inlineStr">
        <is>
          <t>बरसाती पानी की नालियाँ साफ़, ढकी हुई हैं और पानी बिना रुकावट बहता है (कोई जाम नहीं)।</t>
        </is>
      </c>
      <c r="G33" s="45" t="inlineStr">
        <is>
          <t>पावसाळी पाण्याचे नाले स्वच्छ, झाकलेले आहेत आणि पाणी अडथळ्याविना वाहते (कुठेही तुंबलेले नाही).</t>
        </is>
      </c>
    </row>
    <row r="34" ht="27.75" customHeight="1">
      <c r="A34" s="2" t="n">
        <v>23</v>
      </c>
      <c r="B34" s="3" t="inlineStr">
        <is>
          <t>Lawns, gardens and plantation are maintained and watered.</t>
        </is>
      </c>
      <c r="C34" s="11" t="n"/>
      <c r="D34" s="2">
        <f>IF(C34="Yes",2,0)</f>
        <v/>
      </c>
      <c r="E34" s="12" t="n"/>
      <c r="F34" s="45" t="inlineStr">
        <is>
          <t>लॉन, बगीचे और पौधों की देखभाल होती है और उन्हें पानी दिया जाता है।</t>
        </is>
      </c>
      <c r="G34" s="45" t="inlineStr">
        <is>
          <t>लॉन, बाग आणि झाडांची निगा राखली जाते आणि त्यांना पाणी दिले जाते.</t>
        </is>
      </c>
    </row>
    <row r="35" ht="27.75" customHeight="1">
      <c r="A35" s="2" t="n">
        <v>24</v>
      </c>
      <c r="B35" s="3" t="inlineStr">
        <is>
          <t>Building exteriors, gates and boundary walls are in good, clean condition.</t>
        </is>
      </c>
      <c r="C35" s="11" t="n"/>
      <c r="D35" s="2">
        <f>IF(C35="Yes",2,0)</f>
        <v/>
      </c>
      <c r="E35" s="12" t="n"/>
      <c r="F35" s="45" t="inlineStr">
        <is>
          <t>इमारतों का बाहरी हिस्सा, गेट और चारदीवारी अच्छी और साफ़ हालत में हैं।</t>
        </is>
      </c>
      <c r="G35" s="45" t="inlineStr">
        <is>
          <t>इमारतींचा बाहेरील भाग, गेट आणि कुंपणाच्या भिंती चांगल्या आणि स्वच्छ स्थितीत आहेत.</t>
        </is>
      </c>
    </row>
    <row r="36" ht="27.75" customHeight="1">
      <c r="A36" s="2" t="n">
        <v>25</v>
      </c>
      <c r="B36" s="3" t="inlineStr">
        <is>
          <t>Street lights and area lighting are working; fixtures clean.</t>
        </is>
      </c>
      <c r="C36" s="11" t="n"/>
      <c r="D36" s="2">
        <f>IF(C36="Yes",2,0)</f>
        <v/>
      </c>
      <c r="E36" s="12" t="n"/>
      <c r="F36" s="45" t="inlineStr">
        <is>
          <t>स्ट्रीट लाइट और क्षेत्र की रोशनी चालू है; फ़िटिंग साफ़ हैं।</t>
        </is>
      </c>
      <c r="G36" s="45" t="inlineStr">
        <is>
          <t>स्ट्रीट लाईट आणि परिसरातील दिवे चालू आहेत; फिटिंग स्वच्छ आहेत.</t>
        </is>
      </c>
    </row>
    <row r="37" ht="27.75" customHeight="1">
      <c r="A37" s="2" t="n">
        <v>26</v>
      </c>
      <c r="B37" s="3" t="inlineStr">
        <is>
          <t>Toilets and washrooms in the premises are clean, dry and stocked.</t>
        </is>
      </c>
      <c r="C37" s="11" t="n"/>
      <c r="D37" s="2">
        <f>IF(C37="Yes",2,0)</f>
        <v/>
      </c>
      <c r="E37" s="12" t="n"/>
      <c r="F37" s="45" t="inlineStr">
        <is>
          <t>परिसर के शौचालय साफ़, सूखे हैं और उनमें ज़रूरी सामान उपलब्ध है।</t>
        </is>
      </c>
      <c r="G37" s="45" t="inlineStr">
        <is>
          <t>परिसरातील स्वच्छतागृहे स्वच्छ, कोरडी आहेत आणि त्यात आवश्यक साहित्य उपलब्ध आहे.</t>
        </is>
      </c>
    </row>
    <row r="38" ht="27.75" customHeight="1">
      <c r="A38" s="2" t="n">
        <v>27</v>
      </c>
      <c r="B38" s="3" t="inlineStr">
        <is>
          <t>Canteen and rest areas are clean and hygienic (food safety practices).</t>
        </is>
      </c>
      <c r="C38" s="11" t="n"/>
      <c r="D38" s="2">
        <f>IF(C38="Yes",2,0)</f>
        <v/>
      </c>
      <c r="E38" s="12" t="n"/>
      <c r="F38" s="45" t="inlineStr">
        <is>
          <t>कैंटीन और आराम क्षेत्र साफ़ और स्वच्छ (हाइजीनिक) हैं (खाद्य सुरक्षा का पालन)।</t>
        </is>
      </c>
      <c r="G38" s="45" t="inlineStr">
        <is>
          <t>कॅन्टीन आणि विश्रांती क्षेत्र स्वच्छ आणि आरोग्यदायी आहेत (अन्न सुरक्षा नियमांचे पालन).</t>
        </is>
      </c>
    </row>
    <row r="39" ht="27.75" customHeight="1">
      <c r="A39" s="2" t="n">
        <v>28</v>
      </c>
      <c r="B39" s="3" t="inlineStr">
        <is>
          <t>ETP / STP area is clean and odour is controlled.</t>
        </is>
      </c>
      <c r="C39" s="11" t="n"/>
      <c r="D39" s="2">
        <f>IF(C39="Yes",2,0)</f>
        <v/>
      </c>
      <c r="E39" s="12" t="n"/>
      <c r="F39" s="45" t="inlineStr">
        <is>
          <t>ETP / STP क्षेत्र साफ़ है और बदबू नियंत्रण में है।</t>
        </is>
      </c>
      <c r="G39" s="45" t="inlineStr">
        <is>
          <t>ETP / STP क्षेत्र स्वच्छ आहे आणि दुर्गंधी नियंत्रणात आहे.</t>
        </is>
      </c>
    </row>
    <row r="40" ht="27.75" customHeight="1">
      <c r="A40" s="2" t="n">
        <v>29</v>
      </c>
      <c r="B40" s="3" t="inlineStr">
        <is>
          <t>Water logging is not observed anywhere in the premises.</t>
        </is>
      </c>
      <c r="C40" s="11" t="n"/>
      <c r="D40" s="2">
        <f>IF(C40="Yes",2,0)</f>
        <v/>
      </c>
      <c r="E40" s="12" t="n"/>
      <c r="F40" s="45" t="inlineStr">
        <is>
          <t>परिसर में कहीं भी पानी जमा (जलभराव) नहीं दिखता।</t>
        </is>
      </c>
      <c r="G40" s="45" t="inlineStr">
        <is>
          <t>परिसरात कुठेही पाणी साचलेले दिसत नाही.</t>
        </is>
      </c>
    </row>
    <row r="41" ht="27.75" customHeight="1">
      <c r="A41" s="2" t="n">
        <v>30</v>
      </c>
      <c r="B41" s="3" t="inlineStr">
        <is>
          <t>Housekeeping schedule for the premises is displayed and followed.</t>
        </is>
      </c>
      <c r="C41" s="11" t="n"/>
      <c r="D41" s="2">
        <f>IF(C41="Yes",2,0)</f>
        <v/>
      </c>
      <c r="E41" s="12" t="n"/>
      <c r="F41" s="45" t="inlineStr">
        <is>
          <t>परिसर की साफ़-सफ़ाई (हाउसकीपिंग) का शेड्यूल लगा है और उसका पालन होता है।</t>
        </is>
      </c>
      <c r="G41" s="45" t="inlineStr">
        <is>
          <t>परिसराच्या स्वच्छतेचे (हाऊसकीपिंग) वेळापत्रक लावलेले आहे आणि त्याचे पालन होते.</t>
        </is>
      </c>
    </row>
    <row r="42">
      <c r="A42" s="38" t="inlineStr">
        <is>
          <t>Sub-total 3S (out of 20)</t>
        </is>
      </c>
      <c r="B42" s="44" t="n"/>
      <c r="C42" s="43" t="n"/>
      <c r="D42" s="15">
        <f>SUM(D32:D41)</f>
        <v/>
      </c>
      <c r="E42" s="16" t="n"/>
      <c r="F42" s="16" t="n"/>
      <c r="G42" s="16" t="n"/>
    </row>
    <row r="43">
      <c r="A43" s="37" t="inlineStr">
        <is>
          <t>4S – SEIKETSU (STANDARDIZE)</t>
        </is>
      </c>
      <c r="B43" s="44" t="n"/>
      <c r="C43" s="44" t="n"/>
      <c r="D43" s="44" t="n"/>
      <c r="E43" s="43" t="n"/>
      <c r="F43" s="43" t="n"/>
      <c r="G43" s="43" t="n"/>
    </row>
    <row r="44" ht="27.75" customHeight="1">
      <c r="A44" s="2" t="n">
        <v>31</v>
      </c>
      <c r="B44" s="3" t="inlineStr">
        <is>
          <t>Premises zone map with area-wise ownership is defined and displayed.</t>
        </is>
      </c>
      <c r="C44" s="11" t="n"/>
      <c r="D44" s="2">
        <f>IF(C44="Yes",2,0)</f>
        <v/>
      </c>
      <c r="E44" s="12" t="n"/>
      <c r="F44" s="45" t="inlineStr">
        <is>
          <t>क्षेत्र-वार ज़िम्मेदारी के साथ परिसर का ज़ोन मैप तय है और लगा है।</t>
        </is>
      </c>
      <c r="G44" s="45" t="inlineStr">
        <is>
          <t>क्षेत्रनिहाय जबाबदारीसह परिसराचा झोन मॅप ठरलेला आहे आणि लावलेला आहे.</t>
        </is>
      </c>
    </row>
    <row r="45" ht="27.75" customHeight="1">
      <c r="A45" s="2" t="n">
        <v>32</v>
      </c>
      <c r="B45" s="3" t="inlineStr">
        <is>
          <t>Waste segregation standard (dry / wet / hazardous) is displayed at collection points.</t>
        </is>
      </c>
      <c r="C45" s="11" t="n"/>
      <c r="D45" s="2">
        <f>IF(C45="Yes",2,0)</f>
        <v/>
      </c>
      <c r="E45" s="12" t="n"/>
      <c r="F45" s="45" t="inlineStr">
        <is>
          <t>कचरा अलग करने का मानक (सूखा / गीला / ख़तरनाक) कचरा इकट्ठा करने की जगहों पर लगा है।</t>
        </is>
      </c>
      <c r="G45" s="45" t="inlineStr">
        <is>
          <t>कचरा वेगळा करण्याचे मानक (सुका / ओला / धोकादायक) कचरा गोळा करण्याच्या जागी लावलेले आहे.</t>
        </is>
      </c>
    </row>
    <row r="46" ht="27.75" customHeight="1">
      <c r="A46" s="2" t="n">
        <v>33</v>
      </c>
      <c r="B46" s="3" t="inlineStr">
        <is>
          <t>Statutory display boards (factory license, policies) are updated and legible.</t>
        </is>
      </c>
      <c r="C46" s="11" t="n"/>
      <c r="D46" s="2">
        <f>IF(C46="Yes",2,0)</f>
        <v/>
      </c>
      <c r="E46" s="12" t="n"/>
      <c r="F46" s="45" t="inlineStr">
        <is>
          <t>वैधानिक डिस्प्ले बोर्ड (फ़ैक्टरी लाइसेंस, नीतियाँ) अपडेट हैं और पढ़ने योग्य हैं।</t>
        </is>
      </c>
      <c r="G46" s="45" t="inlineStr">
        <is>
          <t>वैधानिक माहिती फलक (फॅक्टरी लायसन्स, धोरणे) अद्ययावत आहेत आणि वाचता येतात.</t>
        </is>
      </c>
    </row>
    <row r="47" ht="27.75" customHeight="1">
      <c r="A47" s="2" t="n">
        <v>34</v>
      </c>
      <c r="B47" s="3" t="inlineStr">
        <is>
          <t>Safety and traffic rules inside the premises are displayed (speed limits, PPE zones).</t>
        </is>
      </c>
      <c r="C47" s="11" t="n"/>
      <c r="D47" s="2">
        <f>IF(C47="Yes",2,0)</f>
        <v/>
      </c>
      <c r="E47" s="12" t="n"/>
      <c r="F47" s="45" t="inlineStr">
        <is>
          <t>परिसर के अंदर सुरक्षा और यातायात नियम लगे हैं (गति सीमा, PPE ज़ोन)।</t>
        </is>
      </c>
      <c r="G47" s="45" t="inlineStr">
        <is>
          <t>परिसरात सुरक्षा आणि वाहतुकीचे नियम लावलेले आहेत (वेगमर्यादा, PPE झोन).</t>
        </is>
      </c>
    </row>
    <row r="48" ht="27.75" customHeight="1">
      <c r="A48" s="2" t="n">
        <v>35</v>
      </c>
      <c r="B48" s="3" t="inlineStr">
        <is>
          <t>Standard checklists for housekeeping of common areas are in use.</t>
        </is>
      </c>
      <c r="C48" s="11" t="n"/>
      <c r="D48" s="2">
        <f>IF(C48="Yes",2,0)</f>
        <v/>
      </c>
      <c r="E48" s="12" t="n"/>
      <c r="F48" s="45" t="inlineStr">
        <is>
          <t>साझा क्षेत्रों की साफ़-सफ़ाई के लिए मानक चेकलिस्ट उपयोग में हैं।</t>
        </is>
      </c>
      <c r="G48" s="45" t="inlineStr">
        <is>
          <t>सामायिक जागांच्या स्वच्छतेसाठी प्रमाणित चेकलिस्ट वापरात आहेत.</t>
        </is>
      </c>
    </row>
    <row r="49" ht="27.75" customHeight="1">
      <c r="A49" s="2" t="n">
        <v>36</v>
      </c>
      <c r="B49" s="3" t="inlineStr">
        <is>
          <t>Emergency evacuation plan and assembly point maps are displayed at key points.</t>
        </is>
      </c>
      <c r="C49" s="11" t="n"/>
      <c r="D49" s="2">
        <f>IF(C49="Yes",2,0)</f>
        <v/>
      </c>
      <c r="E49" s="12" t="n"/>
      <c r="F49" s="45" t="inlineStr">
        <is>
          <t>आपातकालीन निकासी योजना और एकत्र होने के स्थान के नक़्शे मुख्य जगहों पर लगे हैं।</t>
        </is>
      </c>
      <c r="G49" s="45" t="inlineStr">
        <is>
          <t>आपत्कालीन स्थलांतर आराखडा आणि एकत्र जमण्याच्या ठिकाणाचे नकाशे महत्त्वाच्या ठिकाणी लावलेले आहेत.</t>
        </is>
      </c>
    </row>
    <row r="50" ht="27.75" customHeight="1">
      <c r="A50" s="2" t="n">
        <v>37</v>
      </c>
      <c r="B50" s="3" t="inlineStr">
        <is>
          <t>Visitor and contractor management standard (induction, PPE, movement) is followed.</t>
        </is>
      </c>
      <c r="C50" s="11" t="n"/>
      <c r="D50" s="2">
        <f>IF(C50="Yes",2,0)</f>
        <v/>
      </c>
      <c r="E50" s="12" t="n"/>
      <c r="F50" s="45" t="inlineStr">
        <is>
          <t>आगंतुक और ठेकेदार प्रबंधन मानक (इंडक्शन, PPE, आवाजाही) का पालन होता है।</t>
        </is>
      </c>
      <c r="G50" s="45" t="inlineStr">
        <is>
          <t>अभ्यागत आणि कंत्राटदार व्यवस्थापन मानकाचे (इंडक्शन, PPE, ये-जा) पालन होते.</t>
        </is>
      </c>
    </row>
    <row r="51" ht="27.75" customHeight="1">
      <c r="A51" s="2" t="n">
        <v>38</v>
      </c>
      <c r="B51" s="3" t="inlineStr">
        <is>
          <t>Rainwater / drainage maintenance standard exists and is followed seasonally.</t>
        </is>
      </c>
      <c r="C51" s="11" t="n"/>
      <c r="D51" s="2">
        <f>IF(C51="Yes",2,0)</f>
        <v/>
      </c>
      <c r="E51" s="12" t="n"/>
      <c r="F51" s="45" t="inlineStr">
        <is>
          <t>बारिश के पानी / नाली के रखरखाव का मानक है और हर मौसम में उसका पालन होता है।</t>
        </is>
      </c>
      <c r="G51" s="45" t="inlineStr">
        <is>
          <t>पावसाचे पाणी / नाले देखभालीचे मानक आहे आणि प्रत्येक ऋतूमध्ये त्याचे पालन होते.</t>
        </is>
      </c>
    </row>
    <row r="52" ht="27.75" customHeight="1">
      <c r="A52" s="2" t="n">
        <v>39</v>
      </c>
      <c r="B52" s="3" t="inlineStr">
        <is>
          <t>Garden and facade maintenance schedule is defined and followed.</t>
        </is>
      </c>
      <c r="C52" s="11" t="n"/>
      <c r="D52" s="2">
        <f>IF(C52="Yes",2,0)</f>
        <v/>
      </c>
      <c r="E52" s="12" t="n"/>
      <c r="F52" s="45" t="inlineStr">
        <is>
          <t>बगीचे और इमारत के बाहरी हिस्से (फ़साड) के रखरखाव का शेड्यूल तय है और पालन होता है।</t>
        </is>
      </c>
      <c r="G52" s="45" t="inlineStr">
        <is>
          <t>बाग आणि इमारतीच्या बाहेरील भागाच्या (फसाड) देखभालीचे वेळापत्रक ठरलेले आहे आणि पाळले जाते.</t>
        </is>
      </c>
    </row>
    <row r="53" ht="27.75" customHeight="1">
      <c r="A53" s="2" t="n">
        <v>40</v>
      </c>
      <c r="B53" s="3" t="inlineStr">
        <is>
          <t>5S board for premises with audit scores is maintained.</t>
        </is>
      </c>
      <c r="C53" s="11" t="n"/>
      <c r="D53" s="2">
        <f>IF(C53="Yes",2,0)</f>
        <v/>
      </c>
      <c r="E53" s="12" t="n"/>
      <c r="F53" s="45" t="inlineStr">
        <is>
          <t>ऑडिट स्कोर के साथ परिसर का 5S बोर्ड बनाए रखा गया है।</t>
        </is>
      </c>
      <c r="G53" s="45" t="inlineStr">
        <is>
          <t>ऑडिट स्कोअरसह परिसराचा 5S फलक अद्ययावत ठेवला आहे.</t>
        </is>
      </c>
    </row>
    <row r="54">
      <c r="A54" s="38" t="inlineStr">
        <is>
          <t>Sub-total 4S (out of 20)</t>
        </is>
      </c>
      <c r="B54" s="44" t="n"/>
      <c r="C54" s="43" t="n"/>
      <c r="D54" s="15">
        <f>SUM(D44:D53)</f>
        <v/>
      </c>
      <c r="E54" s="16" t="n"/>
      <c r="F54" s="16" t="n"/>
      <c r="G54" s="16" t="n"/>
    </row>
    <row r="55">
      <c r="A55" s="37" t="inlineStr">
        <is>
          <t>5S – SHITSUKE (SUSTAIN)</t>
        </is>
      </c>
      <c r="B55" s="44" t="n"/>
      <c r="C55" s="44" t="n"/>
      <c r="D55" s="44" t="n"/>
      <c r="E55" s="43" t="n"/>
      <c r="F55" s="43" t="n"/>
      <c r="G55" s="43" t="n"/>
    </row>
    <row r="56" ht="27.75" customHeight="1">
      <c r="A56" s="2" t="n">
        <v>41</v>
      </c>
      <c r="B56" s="3" t="inlineStr">
        <is>
          <t>Housekeeping staff / contractors are trained and monitored via checklists.</t>
        </is>
      </c>
      <c r="C56" s="11" t="n"/>
      <c r="D56" s="2">
        <f>IF(C56="Yes",2,0)</f>
        <v/>
      </c>
      <c r="E56" s="12" t="n"/>
      <c r="F56" s="45" t="inlineStr">
        <is>
          <t>साफ़-सफ़ाई कर्मचारी / ठेकेदार प्रशिक्षित हैं और चेकलिस्ट के ज़रिए उन पर नज़र रखी जाती है।</t>
        </is>
      </c>
      <c r="G56" s="45" t="inlineStr">
        <is>
          <t>स्वच्छता कर्मचारी / कंत्राटदार प्रशिक्षित आहेत आणि चेकलिस्टद्वारे त्यांच्यावर लक्ष ठेवले जाते.</t>
        </is>
      </c>
    </row>
    <row r="57" ht="27.75" customHeight="1">
      <c r="A57" s="2" t="n">
        <v>42</v>
      </c>
      <c r="B57" s="3" t="inlineStr">
        <is>
          <t>Daily rounds by admin / security cover premises condition with reporting.</t>
        </is>
      </c>
      <c r="C57" s="11" t="n"/>
      <c r="D57" s="2">
        <f>IF(C57="Yes",2,0)</f>
        <v/>
      </c>
      <c r="E57" s="12" t="n"/>
      <c r="F57" s="45" t="inlineStr">
        <is>
          <t>एडमिन / सिक्योरिटी के रोज़ाना राउंड में परिसर की स्थिति देखी और रिपोर्ट की जाती है।</t>
        </is>
      </c>
      <c r="G57" s="45" t="inlineStr">
        <is>
          <t>ॲडमिन / सिक्युरिटीच्या दैनंदिन फेरीत परिसराची स्थिती पाहून कळवली जाते.</t>
        </is>
      </c>
    </row>
    <row r="58" ht="27.75" customHeight="1">
      <c r="A58" s="2" t="n">
        <v>43</v>
      </c>
      <c r="B58" s="3" t="inlineStr">
        <is>
          <t>5S audits of premises are conducted as per schedule.</t>
        </is>
      </c>
      <c r="C58" s="11" t="n"/>
      <c r="D58" s="2">
        <f>IF(C58="Yes",2,0)</f>
        <v/>
      </c>
      <c r="E58" s="12" t="n"/>
      <c r="F58" s="45" t="inlineStr">
        <is>
          <t>परिसर के 5S ऑडिट शेड्यूल के अनुसार होते हैं।</t>
        </is>
      </c>
      <c r="G58" s="45" t="inlineStr">
        <is>
          <t>परिसराचे 5S ऑडिट वेळापत्रकानुसार होतात.</t>
        </is>
      </c>
    </row>
    <row r="59" ht="27.75" customHeight="1">
      <c r="A59" s="2" t="n">
        <v>44</v>
      </c>
      <c r="B59" s="3" t="inlineStr">
        <is>
          <t>Previous audit non-conformities are closed on time.</t>
        </is>
      </c>
      <c r="C59" s="11" t="n"/>
      <c r="D59" s="2">
        <f>IF(C59="Yes",2,0)</f>
        <v/>
      </c>
      <c r="E59" s="12" t="n"/>
      <c r="F59" s="45" t="inlineStr">
        <is>
          <t>पिछले ऑडिट की कमियाँ समय पर दूर की जाती हैं।</t>
        </is>
      </c>
      <c r="G59" s="45" t="inlineStr">
        <is>
          <t>मागील ऑडिटमधील त्रुटी वेळेत दूर केल्या जातात.</t>
        </is>
      </c>
    </row>
    <row r="60" ht="27.75" customHeight="1">
      <c r="A60" s="2" t="n">
        <v>45</v>
      </c>
      <c r="B60" s="3" t="inlineStr">
        <is>
          <t>Employees follow premises discipline – parking, littering, smoking zones.</t>
        </is>
      </c>
      <c r="C60" s="11" t="n"/>
      <c r="D60" s="2">
        <f>IF(C60="Yes",2,0)</f>
        <v/>
      </c>
      <c r="E60" s="12" t="n"/>
      <c r="F60" s="45" t="inlineStr">
        <is>
          <t>कर्मचारी परिसर के अनुशासन का पालन करते हैं – पार्किंग, गंदगी न फैलाना, धूम्रपान ज़ोन।</t>
        </is>
      </c>
      <c r="G60" s="45" t="inlineStr">
        <is>
          <t>कर्मचारी परिसराची शिस्त पाळतात – पार्किंग, घाण न करणे, धूम्रपान झोन.</t>
        </is>
      </c>
    </row>
    <row r="61" ht="27.75" customHeight="1">
      <c r="A61" s="2" t="n">
        <v>46</v>
      </c>
      <c r="B61" s="3" t="inlineStr">
        <is>
          <t>Waste is lifted by authorized vendors at the defined frequency with records.</t>
        </is>
      </c>
      <c r="C61" s="11" t="n"/>
      <c r="D61" s="2">
        <f>IF(C61="Yes",2,0)</f>
        <v/>
      </c>
      <c r="E61" s="12" t="n"/>
      <c r="F61" s="45" t="inlineStr">
        <is>
          <t>कचरा अधिकृत विक्रेताओं द्वारा तय अंतराल पर उठाया जाता है और उसका रिकॉर्ड रखा जाता है।</t>
        </is>
      </c>
      <c r="G61" s="45" t="inlineStr">
        <is>
          <t>कचरा अधिकृत विक्रेत्यांकडून ठरलेल्या अंतराने उचलला जातो आणि त्याची नोंद ठेवली जाते.</t>
        </is>
      </c>
    </row>
    <row r="62" ht="27.75" customHeight="1">
      <c r="A62" s="2" t="n">
        <v>47</v>
      </c>
      <c r="B62" s="3" t="inlineStr">
        <is>
          <t>Contractors follow housekeeping norms at their work sites within premises.</t>
        </is>
      </c>
      <c r="C62" s="11" t="n"/>
      <c r="D62" s="2">
        <f>IF(C62="Yes",2,0)</f>
        <v/>
      </c>
      <c r="E62" s="12" t="n"/>
      <c r="F62" s="45" t="inlineStr">
        <is>
          <t>ठेकेदार परिसर के अंदर अपनी कार्य-जगहों पर साफ़-सफ़ाई के नियमों का पालन करते हैं।</t>
        </is>
      </c>
      <c r="G62" s="45" t="inlineStr">
        <is>
          <t>कंत्राटदार परिसरातील त्यांच्या कामाच्या ठिकाणी स्वच्छतेच्या नियमांचे पालन करतात.</t>
        </is>
      </c>
    </row>
    <row r="63" ht="27.75" customHeight="1">
      <c r="A63" s="2" t="n">
        <v>48</v>
      </c>
      <c r="B63" s="3" t="inlineStr">
        <is>
          <t>Improvement suggestions for premises are generated and implemented.</t>
        </is>
      </c>
      <c r="C63" s="11" t="n"/>
      <c r="D63" s="2">
        <f>IF(C63="Yes",2,0)</f>
        <v/>
      </c>
      <c r="E63" s="12" t="n"/>
      <c r="F63" s="45" t="inlineStr">
        <is>
          <t>परिसर के सुधार के सुझाव दिए जाते हैं और लागू किए जाते हैं।</t>
        </is>
      </c>
      <c r="G63" s="45" t="inlineStr">
        <is>
          <t>परिसर सुधारणेच्या सूचना दिल्या जातात आणि अंमलात आणल्या जातात.</t>
        </is>
      </c>
    </row>
    <row r="64" ht="27.75" customHeight="1">
      <c r="A64" s="2" t="n">
        <v>49</v>
      </c>
      <c r="B64" s="3" t="inlineStr">
        <is>
          <t>Management review / plant round covers premises 5S periodically.</t>
        </is>
      </c>
      <c r="C64" s="11" t="n"/>
      <c r="D64" s="2">
        <f>IF(C64="Yes",2,0)</f>
        <v/>
      </c>
      <c r="E64" s="12" t="n"/>
      <c r="F64" s="45" t="inlineStr">
        <is>
          <t>प्रबंधन समीक्षा / प्लांट राउंड में समय-समय पर परिसर का 5S भी देखा जाता है।</t>
        </is>
      </c>
      <c r="G64" s="45" t="inlineStr">
        <is>
          <t>व्यवस्थापन आढावा / प्लांट फेरीत वेळोवेळी परिसराचे 5S देखील पाहिले जाते.</t>
        </is>
      </c>
    </row>
    <row r="65" ht="27.75" customHeight="1">
      <c r="A65" s="2" t="n">
        <v>50</v>
      </c>
      <c r="B65" s="3" t="inlineStr">
        <is>
          <t>Premises 5S score trend is stable or improving over the last 3 audits.</t>
        </is>
      </c>
      <c r="C65" s="11" t="n"/>
      <c r="D65" s="2">
        <f>IF(C65="Yes",2,0)</f>
        <v/>
      </c>
      <c r="E65" s="12" t="n"/>
      <c r="F65" s="45" t="inlineStr">
        <is>
          <t>पिछले 3 ऑडिट में परिसर का 5S स्कोर स्थिर है या बेहतर हो रहा है।</t>
        </is>
      </c>
      <c r="G65" s="45" t="inlineStr">
        <is>
          <t>मागील 3 ऑडिटमध्ये परिसराचा 5S स्कोअर स्थिर आहे किंवा सुधारत आहे.</t>
        </is>
      </c>
    </row>
    <row r="66">
      <c r="A66" s="38" t="inlineStr">
        <is>
          <t>Sub-total 5S (out of 20)</t>
        </is>
      </c>
      <c r="B66" s="44" t="n"/>
      <c r="C66" s="43" t="n"/>
      <c r="D66" s="15">
        <f>SUM(D56:D65)</f>
        <v/>
      </c>
      <c r="E66" s="16" t="n"/>
      <c r="F66" s="16" t="n"/>
      <c r="G66" s="16" t="n"/>
    </row>
    <row r="67">
      <c r="A67" s="39" t="inlineStr">
        <is>
          <t>TOTAL SCORE (out of 100)</t>
        </is>
      </c>
      <c r="B67" s="44" t="n"/>
      <c r="C67" s="43" t="n"/>
      <c r="D67" s="17">
        <f>D18+D30+D42+D54+D66</f>
        <v/>
      </c>
      <c r="E67" s="10" t="n"/>
      <c r="F67" s="10" t="n"/>
      <c r="G67" s="10" t="n"/>
    </row>
    <row r="68">
      <c r="A68" s="40" t="inlineStr">
        <is>
          <t>PERCENTAGE</t>
        </is>
      </c>
      <c r="B68" s="44" t="n"/>
      <c r="C68" s="43" t="n"/>
      <c r="D68" s="18">
        <f>D67/100</f>
        <v/>
      </c>
      <c r="E68" s="19" t="n"/>
      <c r="F68" s="19" t="n"/>
      <c r="G68" s="19" t="n"/>
    </row>
    <row r="69">
      <c r="A69" s="40" t="inlineStr">
        <is>
          <t>RATING</t>
        </is>
      </c>
      <c r="B69" s="44" t="n"/>
      <c r="C69" s="43" t="n"/>
      <c r="D69" s="21">
        <f>IF(D68&gt;=0.9,"Outstanding",IF(D68&gt;=0.75,"On Track",IF(D68&gt;=0.6,"Improving","Needs Support")))</f>
        <v/>
      </c>
      <c r="E69" s="19" t="n"/>
      <c r="F69" s="19" t="n"/>
      <c r="G69" s="19" t="n"/>
    </row>
    <row r="70"/>
    <row r="71">
      <c r="A71" s="36" t="inlineStr">
        <is>
          <t>Rating scale:  ≥ 90% Outstanding  |  75–89% On Track  |  60–74% Improving  |  &lt; 60% Needs Support.  Points scored 'No' must be entered in the corrective action tracker.</t>
        </is>
      </c>
    </row>
    <row r="72"/>
    <row r="73">
      <c r="B73" s="20" t="inlineStr">
        <is>
          <t>Auditor Signature: ______________________</t>
        </is>
      </c>
      <c r="E73" s="20" t="inlineStr">
        <is>
          <t>Area Owner Signature: ______________________</t>
        </is>
      </c>
      <c r="F73" s="20" t="n"/>
      <c r="G73" s="20" t="n"/>
    </row>
    <row r="74">
      <c r="A74" s="22" t="inlineStr">
        <is>
          <t>Prepared by AB Associates, Nashik.</t>
        </is>
      </c>
    </row>
  </sheetData>
  <mergeCells count="16">
    <mergeCell ref="A42:C42"/>
    <mergeCell ref="A55:E55"/>
    <mergeCell ref="A68:C68"/>
    <mergeCell ref="A66:C66"/>
    <mergeCell ref="A43:E43"/>
    <mergeCell ref="A7:E7"/>
    <mergeCell ref="A19:E19"/>
    <mergeCell ref="A71:E71"/>
    <mergeCell ref="A18:C18"/>
    <mergeCell ref="A67:C67"/>
    <mergeCell ref="A1:E1"/>
    <mergeCell ref="A30:C30"/>
    <mergeCell ref="A69:C69"/>
    <mergeCell ref="A31:E31"/>
    <mergeCell ref="A54:C54"/>
    <mergeCell ref="E2:E4"/>
  </mergeCells>
  <dataValidations count="1">
    <dataValidation sqref="C8:C17 C20:C29 C32:C41 C44:C53 C56:C65" showDropDown="0" showInputMessage="0" showErrorMessage="1" allowBlank="1" errorTitle="Invalid entry" error="Please select Yes or No" type="list">
      <formula1>"Yes,No"</formula1>
      <formula2>0</formula2>
    </dataValidation>
  </dataValidations>
  <pageMargins left="0.75" right="0.75" top="1" bottom="1" header="0.511811023622047" footer="0.511811023622047"/>
  <pageSetup orientation="portrait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2026-08-06T08:19:08Z</dcterms:created>
  <dcterms:modified xsi:type="dcterms:W3CDTF">2026-09-29T07:35:53Z</dcterms:modified>
  <cp:lastModifiedBy>Dell</cp:lastModifiedBy>
  <cp:revision>0</cp:revision>
</cp:coreProperties>
</file>