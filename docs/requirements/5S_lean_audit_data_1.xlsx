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8_{2EA95C17-6CD1-43E0-A5F7-6B8744A6675B}" xr6:coauthVersionLast="47" xr6:coauthVersionMax="47" xr10:uidLastSave="{00000000-0000-0000-0000-000000000000}"/>
  <bookViews>
    <workbookView xWindow="-120" yWindow="-120" windowWidth="20730" windowHeight="11160" tabRatio="828" activeTab="5" xr2:uid="{00000000-000D-0000-FFFF-FFFF00000000}"/>
  </bookViews>
  <sheets>
    <sheet name="5S Audit Team" sheetId="1" r:id="rId1"/>
    <sheet name="Audit Schedule" sheetId="2" r:id="rId2"/>
    <sheet name="Monthly Zone Scores" sheetId="3" r:id="rId3"/>
    <sheet name="Shop Floor" sheetId="5" r:id="rId4"/>
    <sheet name="Office" sheetId="6" r:id="rId5"/>
    <sheet name="Stores (RM)" sheetId="7" r:id="rId6"/>
    <sheet name="Production" sheetId="8" r:id="rId7"/>
    <sheet name="FG Stores" sheetId="9" r:id="rId8"/>
    <sheet name="Packing Area" sheetId="10" r:id="rId9"/>
    <sheet name="Boiler &amp; Utility" sheetId="11" r:id="rId10"/>
    <sheet name="Maintenance" sheetId="12" r:id="rId11"/>
    <sheet name="Premises" sheetId="13" r:id="rId12"/>
  </sheets>
  <definedNames>
    <definedName name="_xlnm.Print_Area" localSheetId="9">'Boiler &amp; Utility'!$A$1:$E$73</definedName>
    <definedName name="_xlnm.Print_Area" localSheetId="7">'FG Stores'!$A$1:$E$73</definedName>
    <definedName name="_xlnm.Print_Area" localSheetId="10">Maintenance!$A$1:$E$73</definedName>
    <definedName name="_xlnm.Print_Area" localSheetId="4">Office!$A$1:$E$73</definedName>
    <definedName name="_xlnm.Print_Area" localSheetId="8">'Packing Area'!$A$1:$E$73</definedName>
    <definedName name="_xlnm.Print_Area" localSheetId="11">Premises!$A$1:$E$73</definedName>
    <definedName name="_xlnm.Print_Area" localSheetId="6">Production!$A$1:$E$73</definedName>
    <definedName name="_xlnm.Print_Area" localSheetId="3">'Shop Floor'!$A$1:$E$73</definedName>
    <definedName name="_xlnm.Print_Area" localSheetId="5">'Stores (RM)'!$A$1:$E$73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66" i="13" l="1"/>
  <c r="D65" i="13"/>
  <c r="D64" i="13"/>
  <c r="D63" i="13"/>
  <c r="D62" i="13"/>
  <c r="D61" i="13"/>
  <c r="D60" i="13"/>
  <c r="D59" i="13"/>
  <c r="D58" i="13"/>
  <c r="D57" i="13"/>
  <c r="D56" i="13"/>
  <c r="D53" i="13"/>
  <c r="D52" i="13"/>
  <c r="D54" i="13" s="1"/>
  <c r="D51" i="13"/>
  <c r="D50" i="13"/>
  <c r="D49" i="13"/>
  <c r="D48" i="13"/>
  <c r="D47" i="13"/>
  <c r="D46" i="13"/>
  <c r="D45" i="13"/>
  <c r="D44" i="13"/>
  <c r="D41" i="13"/>
  <c r="D40" i="13"/>
  <c r="D39" i="13"/>
  <c r="D38" i="13"/>
  <c r="D37" i="13"/>
  <c r="D36" i="13"/>
  <c r="D35" i="13"/>
  <c r="D34" i="13"/>
  <c r="D33" i="13"/>
  <c r="D32" i="13"/>
  <c r="D29" i="13"/>
  <c r="D28" i="13"/>
  <c r="D27" i="13"/>
  <c r="D26" i="13"/>
  <c r="D25" i="13"/>
  <c r="D24" i="13"/>
  <c r="D23" i="13"/>
  <c r="D22" i="13"/>
  <c r="D21" i="13"/>
  <c r="D20" i="13"/>
  <c r="D17" i="13"/>
  <c r="D16" i="13"/>
  <c r="D15" i="13"/>
  <c r="D14" i="13"/>
  <c r="D13" i="13"/>
  <c r="D12" i="13"/>
  <c r="D11" i="13"/>
  <c r="D18" i="13" s="1"/>
  <c r="D10" i="13"/>
  <c r="D9" i="13"/>
  <c r="D8" i="13"/>
  <c r="D65" i="12"/>
  <c r="D64" i="12"/>
  <c r="D63" i="12"/>
  <c r="D62" i="12"/>
  <c r="D61" i="12"/>
  <c r="D66" i="12" s="1"/>
  <c r="D60" i="12"/>
  <c r="D59" i="12"/>
  <c r="D58" i="12"/>
  <c r="D57" i="12"/>
  <c r="D56" i="12"/>
  <c r="D53" i="12"/>
  <c r="D52" i="12"/>
  <c r="D51" i="12"/>
  <c r="D50" i="12"/>
  <c r="D49" i="12"/>
  <c r="D48" i="12"/>
  <c r="D54" i="12" s="1"/>
  <c r="D47" i="12"/>
  <c r="D46" i="12"/>
  <c r="D45" i="12"/>
  <c r="D44" i="12"/>
  <c r="D41" i="12"/>
  <c r="D40" i="12"/>
  <c r="D39" i="12"/>
  <c r="D38" i="12"/>
  <c r="D37" i="12"/>
  <c r="D36" i="12"/>
  <c r="D35" i="12"/>
  <c r="D34" i="12"/>
  <c r="D33" i="12"/>
  <c r="D32" i="12"/>
  <c r="D29" i="12"/>
  <c r="D28" i="12"/>
  <c r="D27" i="12"/>
  <c r="D26" i="12"/>
  <c r="D25" i="12"/>
  <c r="D24" i="12"/>
  <c r="D23" i="12"/>
  <c r="D22" i="12"/>
  <c r="D21" i="12"/>
  <c r="D20" i="12"/>
  <c r="D17" i="12"/>
  <c r="D16" i="12"/>
  <c r="D15" i="12"/>
  <c r="D14" i="12"/>
  <c r="D13" i="12"/>
  <c r="D12" i="12"/>
  <c r="D11" i="12"/>
  <c r="D10" i="12"/>
  <c r="D9" i="12"/>
  <c r="D8" i="12"/>
  <c r="D65" i="11"/>
  <c r="D64" i="11"/>
  <c r="D63" i="11"/>
  <c r="D62" i="11"/>
  <c r="D61" i="11"/>
  <c r="D60" i="11"/>
  <c r="D59" i="11"/>
  <c r="D58" i="11"/>
  <c r="D57" i="11"/>
  <c r="D56" i="11"/>
  <c r="D53" i="11"/>
  <c r="D52" i="11"/>
  <c r="D51" i="11"/>
  <c r="D50" i="11"/>
  <c r="D49" i="11"/>
  <c r="D48" i="11"/>
  <c r="D47" i="11"/>
  <c r="D46" i="11"/>
  <c r="D54" i="11" s="1"/>
  <c r="D45" i="11"/>
  <c r="D44" i="11"/>
  <c r="D41" i="11"/>
  <c r="D40" i="11"/>
  <c r="D39" i="11"/>
  <c r="D38" i="11"/>
  <c r="D37" i="11"/>
  <c r="D36" i="11"/>
  <c r="D35" i="11"/>
  <c r="D34" i="11"/>
  <c r="D33" i="11"/>
  <c r="D42" i="11" s="1"/>
  <c r="D32" i="11"/>
  <c r="D29" i="11"/>
  <c r="D28" i="11"/>
  <c r="D27" i="11"/>
  <c r="D26" i="11"/>
  <c r="D25" i="11"/>
  <c r="D24" i="11"/>
  <c r="D23" i="11"/>
  <c r="D22" i="11"/>
  <c r="D21" i="11"/>
  <c r="D20" i="11"/>
  <c r="D30" i="11" s="1"/>
  <c r="D17" i="11"/>
  <c r="D16" i="11"/>
  <c r="D15" i="11"/>
  <c r="D14" i="11"/>
  <c r="D13" i="11"/>
  <c r="D12" i="11"/>
  <c r="D11" i="11"/>
  <c r="D10" i="11"/>
  <c r="D9" i="11"/>
  <c r="D8" i="11"/>
  <c r="D18" i="11" s="1"/>
  <c r="D65" i="10"/>
  <c r="D64" i="10"/>
  <c r="D63" i="10"/>
  <c r="D62" i="10"/>
  <c r="D61" i="10"/>
  <c r="D60" i="10"/>
  <c r="D59" i="10"/>
  <c r="D58" i="10"/>
  <c r="D57" i="10"/>
  <c r="D56" i="10"/>
  <c r="D53" i="10"/>
  <c r="D52" i="10"/>
  <c r="D51" i="10"/>
  <c r="D50" i="10"/>
  <c r="D49" i="10"/>
  <c r="D48" i="10"/>
  <c r="D47" i="10"/>
  <c r="D46" i="10"/>
  <c r="D45" i="10"/>
  <c r="D44" i="10"/>
  <c r="D41" i="10"/>
  <c r="D40" i="10"/>
  <c r="D39" i="10"/>
  <c r="D38" i="10"/>
  <c r="D37" i="10"/>
  <c r="D36" i="10"/>
  <c r="D35" i="10"/>
  <c r="D34" i="10"/>
  <c r="D33" i="10"/>
  <c r="D32" i="10"/>
  <c r="D29" i="10"/>
  <c r="D28" i="10"/>
  <c r="D27" i="10"/>
  <c r="D26" i="10"/>
  <c r="D25" i="10"/>
  <c r="D24" i="10"/>
  <c r="D23" i="10"/>
  <c r="D22" i="10"/>
  <c r="D21" i="10"/>
  <c r="D20" i="10"/>
  <c r="D30" i="10" s="1"/>
  <c r="D17" i="10"/>
  <c r="D16" i="10"/>
  <c r="D15" i="10"/>
  <c r="D14" i="10"/>
  <c r="D13" i="10"/>
  <c r="D12" i="10"/>
  <c r="D11" i="10"/>
  <c r="D10" i="10"/>
  <c r="D9" i="10"/>
  <c r="D8" i="10"/>
  <c r="D18" i="10" s="1"/>
  <c r="D65" i="9"/>
  <c r="D64" i="9"/>
  <c r="D63" i="9"/>
  <c r="D62" i="9"/>
  <c r="D61" i="9"/>
  <c r="D60" i="9"/>
  <c r="D59" i="9"/>
  <c r="D58" i="9"/>
  <c r="D57" i="9"/>
  <c r="D56" i="9"/>
  <c r="D53" i="9"/>
  <c r="D52" i="9"/>
  <c r="D51" i="9"/>
  <c r="D50" i="9"/>
  <c r="D49" i="9"/>
  <c r="D48" i="9"/>
  <c r="D47" i="9"/>
  <c r="D46" i="9"/>
  <c r="D45" i="9"/>
  <c r="D44" i="9"/>
  <c r="D54" i="9" s="1"/>
  <c r="D41" i="9"/>
  <c r="D40" i="9"/>
  <c r="D39" i="9"/>
  <c r="D38" i="9"/>
  <c r="D37" i="9"/>
  <c r="D36" i="9"/>
  <c r="D35" i="9"/>
  <c r="D34" i="9"/>
  <c r="D33" i="9"/>
  <c r="D32" i="9"/>
  <c r="D42" i="9" s="1"/>
  <c r="D30" i="9"/>
  <c r="D29" i="9"/>
  <c r="D28" i="9"/>
  <c r="D27" i="9"/>
  <c r="D26" i="9"/>
  <c r="D25" i="9"/>
  <c r="D24" i="9"/>
  <c r="D23" i="9"/>
  <c r="D22" i="9"/>
  <c r="D21" i="9"/>
  <c r="D20" i="9"/>
  <c r="D18" i="9"/>
  <c r="D17" i="9"/>
  <c r="D16" i="9"/>
  <c r="D15" i="9"/>
  <c r="D14" i="9"/>
  <c r="D13" i="9"/>
  <c r="D12" i="9"/>
  <c r="D11" i="9"/>
  <c r="D10" i="9"/>
  <c r="D9" i="9"/>
  <c r="D8" i="9"/>
  <c r="D65" i="8"/>
  <c r="D64" i="8"/>
  <c r="D63" i="8"/>
  <c r="D62" i="8"/>
  <c r="D61" i="8"/>
  <c r="D60" i="8"/>
  <c r="D59" i="8"/>
  <c r="D58" i="8"/>
  <c r="D57" i="8"/>
  <c r="D56" i="8"/>
  <c r="D66" i="8" s="1"/>
  <c r="D54" i="8"/>
  <c r="D53" i="8"/>
  <c r="D52" i="8"/>
  <c r="D51" i="8"/>
  <c r="D50" i="8"/>
  <c r="D49" i="8"/>
  <c r="D48" i="8"/>
  <c r="D47" i="8"/>
  <c r="D46" i="8"/>
  <c r="D45" i="8"/>
  <c r="D44" i="8"/>
  <c r="D42" i="8"/>
  <c r="D41" i="8"/>
  <c r="D40" i="8"/>
  <c r="D39" i="8"/>
  <c r="D38" i="8"/>
  <c r="D37" i="8"/>
  <c r="D36" i="8"/>
  <c r="D35" i="8"/>
  <c r="D34" i="8"/>
  <c r="D33" i="8"/>
  <c r="D32" i="8"/>
  <c r="D29" i="8"/>
  <c r="D30" i="8" s="1"/>
  <c r="D28" i="8"/>
  <c r="D27" i="8"/>
  <c r="D26" i="8"/>
  <c r="D25" i="8"/>
  <c r="D24" i="8"/>
  <c r="D23" i="8"/>
  <c r="D22" i="8"/>
  <c r="D21" i="8"/>
  <c r="D20" i="8"/>
  <c r="D17" i="8"/>
  <c r="D16" i="8"/>
  <c r="D15" i="8"/>
  <c r="D14" i="8"/>
  <c r="D18" i="8" s="1"/>
  <c r="D67" i="8" s="1"/>
  <c r="D13" i="8"/>
  <c r="D12" i="8"/>
  <c r="D11" i="8"/>
  <c r="D10" i="8"/>
  <c r="D9" i="8"/>
  <c r="D8" i="8"/>
  <c r="D65" i="7"/>
  <c r="D64" i="7"/>
  <c r="D66" i="7" s="1"/>
  <c r="D63" i="7"/>
  <c r="D62" i="7"/>
  <c r="D61" i="7"/>
  <c r="D60" i="7"/>
  <c r="D59" i="7"/>
  <c r="D58" i="7"/>
  <c r="D57" i="7"/>
  <c r="D56" i="7"/>
  <c r="D53" i="7"/>
  <c r="D52" i="7"/>
  <c r="D51" i="7"/>
  <c r="D50" i="7"/>
  <c r="D54" i="7" s="1"/>
  <c r="D49" i="7"/>
  <c r="D48" i="7"/>
  <c r="D47" i="7"/>
  <c r="D46" i="7"/>
  <c r="D45" i="7"/>
  <c r="D44" i="7"/>
  <c r="D41" i="7"/>
  <c r="D40" i="7"/>
  <c r="D39" i="7"/>
  <c r="D38" i="7"/>
  <c r="D37" i="7"/>
  <c r="D42" i="7" s="1"/>
  <c r="D36" i="7"/>
  <c r="D35" i="7"/>
  <c r="D34" i="7"/>
  <c r="D33" i="7"/>
  <c r="D32" i="7"/>
  <c r="D29" i="7"/>
  <c r="D28" i="7"/>
  <c r="D27" i="7"/>
  <c r="D26" i="7"/>
  <c r="D25" i="7"/>
  <c r="D24" i="7"/>
  <c r="D23" i="7"/>
  <c r="D22" i="7"/>
  <c r="D21" i="7"/>
  <c r="D20" i="7"/>
  <c r="D17" i="7"/>
  <c r="D16" i="7"/>
  <c r="D15" i="7"/>
  <c r="D14" i="7"/>
  <c r="D13" i="7"/>
  <c r="D12" i="7"/>
  <c r="D11" i="7"/>
  <c r="D18" i="7" s="1"/>
  <c r="D10" i="7"/>
  <c r="D9" i="7"/>
  <c r="D8" i="7"/>
  <c r="D65" i="6"/>
  <c r="D64" i="6"/>
  <c r="D63" i="6"/>
  <c r="D62" i="6"/>
  <c r="D61" i="6"/>
  <c r="D66" i="6" s="1"/>
  <c r="D60" i="6"/>
  <c r="D59" i="6"/>
  <c r="D58" i="6"/>
  <c r="D57" i="6"/>
  <c r="D56" i="6"/>
  <c r="D53" i="6"/>
  <c r="D52" i="6"/>
  <c r="D51" i="6"/>
  <c r="D50" i="6"/>
  <c r="D49" i="6"/>
  <c r="D48" i="6"/>
  <c r="D54" i="6" s="1"/>
  <c r="D47" i="6"/>
  <c r="D46" i="6"/>
  <c r="D45" i="6"/>
  <c r="D44" i="6"/>
  <c r="D41" i="6"/>
  <c r="D40" i="6"/>
  <c r="D39" i="6"/>
  <c r="D38" i="6"/>
  <c r="D37" i="6"/>
  <c r="D36" i="6"/>
  <c r="D35" i="6"/>
  <c r="D34" i="6"/>
  <c r="D33" i="6"/>
  <c r="D32" i="6"/>
  <c r="D29" i="6"/>
  <c r="D28" i="6"/>
  <c r="D27" i="6"/>
  <c r="D26" i="6"/>
  <c r="D25" i="6"/>
  <c r="D24" i="6"/>
  <c r="D23" i="6"/>
  <c r="D22" i="6"/>
  <c r="D21" i="6"/>
  <c r="D20" i="6"/>
  <c r="D17" i="6"/>
  <c r="D16" i="6"/>
  <c r="D15" i="6"/>
  <c r="D14" i="6"/>
  <c r="D13" i="6"/>
  <c r="D12" i="6"/>
  <c r="D11" i="6"/>
  <c r="D10" i="6"/>
  <c r="D9" i="6"/>
  <c r="D8" i="6"/>
  <c r="D65" i="5"/>
  <c r="D64" i="5"/>
  <c r="D63" i="5"/>
  <c r="D62" i="5"/>
  <c r="D61" i="5"/>
  <c r="D60" i="5"/>
  <c r="D59" i="5"/>
  <c r="D58" i="5"/>
  <c r="D57" i="5"/>
  <c r="D56" i="5"/>
  <c r="D53" i="5"/>
  <c r="D52" i="5"/>
  <c r="D51" i="5"/>
  <c r="D50" i="5"/>
  <c r="D49" i="5"/>
  <c r="D48" i="5"/>
  <c r="D47" i="5"/>
  <c r="D46" i="5"/>
  <c r="D54" i="5" s="1"/>
  <c r="D45" i="5"/>
  <c r="D44" i="5"/>
  <c r="D41" i="5"/>
  <c r="D40" i="5"/>
  <c r="D39" i="5"/>
  <c r="D38" i="5"/>
  <c r="D37" i="5"/>
  <c r="D36" i="5"/>
  <c r="D35" i="5"/>
  <c r="D34" i="5"/>
  <c r="D33" i="5"/>
  <c r="D42" i="5" s="1"/>
  <c r="D32" i="5"/>
  <c r="D29" i="5"/>
  <c r="D28" i="5"/>
  <c r="D27" i="5"/>
  <c r="D26" i="5"/>
  <c r="D25" i="5"/>
  <c r="D24" i="5"/>
  <c r="D23" i="5"/>
  <c r="D22" i="5"/>
  <c r="D21" i="5"/>
  <c r="D20" i="5"/>
  <c r="D30" i="5" s="1"/>
  <c r="D17" i="5"/>
  <c r="D16" i="5"/>
  <c r="D15" i="5"/>
  <c r="D14" i="5"/>
  <c r="D13" i="5"/>
  <c r="D12" i="5"/>
  <c r="D11" i="5"/>
  <c r="D10" i="5"/>
  <c r="D9" i="5"/>
  <c r="D8" i="5"/>
  <c r="D18" i="5" s="1"/>
  <c r="O56" i="3"/>
  <c r="N56" i="3"/>
  <c r="M56" i="3"/>
  <c r="L56" i="3"/>
  <c r="K56" i="3"/>
  <c r="J56" i="3"/>
  <c r="I56" i="3"/>
  <c r="H56" i="3"/>
  <c r="G56" i="3"/>
  <c r="F56" i="3"/>
  <c r="E56" i="3"/>
  <c r="D56" i="3"/>
  <c r="P55" i="3"/>
  <c r="Q55" i="3" s="1"/>
  <c r="Q54" i="3"/>
  <c r="P54" i="3"/>
  <c r="Q53" i="3"/>
  <c r="P53" i="3"/>
  <c r="P52" i="3"/>
  <c r="Q52" i="3" s="1"/>
  <c r="P51" i="3"/>
  <c r="Q51" i="3" s="1"/>
  <c r="P50" i="3"/>
  <c r="Q50" i="3" s="1"/>
  <c r="P49" i="3"/>
  <c r="Q49" i="3" s="1"/>
  <c r="P48" i="3"/>
  <c r="Q48" i="3" s="1"/>
  <c r="P47" i="3"/>
  <c r="Q47" i="3" s="1"/>
  <c r="P46" i="3"/>
  <c r="Q46" i="3" s="1"/>
  <c r="P45" i="3"/>
  <c r="Q45" i="3" s="1"/>
  <c r="P44" i="3"/>
  <c r="Q44" i="3" s="1"/>
  <c r="P43" i="3"/>
  <c r="Q43" i="3" s="1"/>
  <c r="P42" i="3"/>
  <c r="Q42" i="3" s="1"/>
  <c r="P41" i="3"/>
  <c r="Q41" i="3" s="1"/>
  <c r="P40" i="3"/>
  <c r="Q40" i="3" s="1"/>
  <c r="P39" i="3"/>
  <c r="Q39" i="3" s="1"/>
  <c r="P38" i="3"/>
  <c r="Q38" i="3" s="1"/>
  <c r="Q37" i="3"/>
  <c r="P37" i="3"/>
  <c r="Q36" i="3"/>
  <c r="P36" i="3"/>
  <c r="Q35" i="3"/>
  <c r="P35" i="3"/>
  <c r="P34" i="3"/>
  <c r="Q34" i="3" s="1"/>
  <c r="P33" i="3"/>
  <c r="Q33" i="3" s="1"/>
  <c r="P32" i="3"/>
  <c r="Q32" i="3" s="1"/>
  <c r="P31" i="3"/>
  <c r="Q31" i="3" s="1"/>
  <c r="Q30" i="3"/>
  <c r="P30" i="3"/>
  <c r="Q29" i="3"/>
  <c r="P29" i="3"/>
  <c r="P28" i="3"/>
  <c r="Q28" i="3" s="1"/>
  <c r="P27" i="3"/>
  <c r="Q27" i="3" s="1"/>
  <c r="P26" i="3"/>
  <c r="Q26" i="3" s="1"/>
  <c r="P25" i="3"/>
  <c r="Q25" i="3" s="1"/>
  <c r="P24" i="3"/>
  <c r="Q24" i="3" s="1"/>
  <c r="P23" i="3"/>
  <c r="Q23" i="3" s="1"/>
  <c r="P22" i="3"/>
  <c r="Q22" i="3" s="1"/>
  <c r="P21" i="3"/>
  <c r="Q21" i="3" s="1"/>
  <c r="P20" i="3"/>
  <c r="Q20" i="3" s="1"/>
  <c r="P19" i="3"/>
  <c r="Q19" i="3" s="1"/>
  <c r="P18" i="3"/>
  <c r="Q18" i="3" s="1"/>
  <c r="P17" i="3"/>
  <c r="Q17" i="3" s="1"/>
  <c r="P16" i="3"/>
  <c r="Q16" i="3" s="1"/>
  <c r="P15" i="3"/>
  <c r="Q15" i="3" s="1"/>
  <c r="P14" i="3"/>
  <c r="Q14" i="3" s="1"/>
  <c r="Q13" i="3"/>
  <c r="P13" i="3"/>
  <c r="Q12" i="3"/>
  <c r="P12" i="3"/>
  <c r="Q11" i="3"/>
  <c r="P11" i="3"/>
  <c r="P10" i="3"/>
  <c r="Q10" i="3" s="1"/>
  <c r="P9" i="3"/>
  <c r="Q9" i="3" s="1"/>
  <c r="P8" i="3"/>
  <c r="Q8" i="3" s="1"/>
  <c r="P7" i="3"/>
  <c r="Q7" i="3" s="1"/>
  <c r="Q6" i="3"/>
  <c r="P6" i="3"/>
  <c r="D67" i="13" l="1"/>
  <c r="D67" i="10"/>
  <c r="D68" i="8"/>
  <c r="D42" i="6"/>
  <c r="D42" i="12"/>
  <c r="D30" i="6"/>
  <c r="D66" i="10"/>
  <c r="D30" i="12"/>
  <c r="D18" i="6"/>
  <c r="D67" i="6" s="1"/>
  <c r="D54" i="10"/>
  <c r="D18" i="12"/>
  <c r="D67" i="12" s="1"/>
  <c r="D67" i="11"/>
  <c r="D42" i="10"/>
  <c r="P56" i="3"/>
  <c r="D66" i="9"/>
  <c r="D67" i="9" s="1"/>
  <c r="D42" i="13"/>
  <c r="D66" i="5"/>
  <c r="D67" i="5" s="1"/>
  <c r="D30" i="7"/>
  <c r="D67" i="7" s="1"/>
  <c r="D66" i="11"/>
  <c r="D30" i="13"/>
  <c r="D68" i="9" l="1"/>
  <c r="D68" i="7"/>
  <c r="D68" i="5"/>
  <c r="D68" i="12"/>
  <c r="D68" i="11"/>
  <c r="D68" i="6"/>
  <c r="D68" i="10"/>
  <c r="D69" i="8"/>
  <c r="D68" i="13"/>
  <c r="D69" i="7" l="1"/>
  <c r="D69" i="9"/>
  <c r="D69" i="10"/>
  <c r="D69" i="6"/>
  <c r="D69" i="11"/>
  <c r="D69" i="12"/>
  <c r="D69" i="13"/>
  <c r="D69" i="5"/>
</calcChain>
</file>

<file path=xl/sharedStrings.xml><?xml version="1.0" encoding="utf-8"?>
<sst xmlns="http://schemas.openxmlformats.org/spreadsheetml/2006/main" count="1001" uniqueCount="596">
  <si>
    <t>5S AUDIT TEAM &amp; STEERING COMMITTEE</t>
  </si>
  <si>
    <t>A. 5S STEERING COMMITTEE</t>
  </si>
  <si>
    <t>Sr.</t>
  </si>
  <si>
    <t>Role</t>
  </si>
  <si>
    <t>Name</t>
  </si>
  <si>
    <t>Department</t>
  </si>
  <si>
    <t>Designation</t>
  </si>
  <si>
    <t>Responsibility</t>
  </si>
  <si>
    <t>Chairman (Plant Head)</t>
  </si>
  <si>
    <t>Overall 5S direction, monthly review, resource approval</t>
  </si>
  <si>
    <t>5S Coordinator</t>
  </si>
  <si>
    <t>Audit planning, score consolidation, training, 5S board updates</t>
  </si>
  <si>
    <t>Management Representative</t>
  </si>
  <si>
    <t>Cross-functional coordination, corrective action follow-up</t>
  </si>
  <si>
    <t>Safety Officer</t>
  </si>
  <si>
    <t>Safety-related 5S points, PPE and signage compliance</t>
  </si>
  <si>
    <t>Committee Member – Production</t>
  </si>
  <si>
    <t>Shop floor zone ownership and support</t>
  </si>
  <si>
    <t>Committee Member – Stores / SCM</t>
  </si>
  <si>
    <t>Stores, FG and packing zone support</t>
  </si>
  <si>
    <t>Committee Member – Maintenance / Utility</t>
  </si>
  <si>
    <t>Utility, maintenance and premises zone support</t>
  </si>
  <si>
    <t>Committee Member – HR / Admin</t>
  </si>
  <si>
    <t>Office zones, training, reward &amp; recognition</t>
  </si>
  <si>
    <t>B. AUDIT TEAMS (cross-functional – auditors must not audit their own zones)</t>
  </si>
  <si>
    <t>Auditor Name</t>
  </si>
  <si>
    <t>Quality</t>
  </si>
  <si>
    <t>Sr. Engineer</t>
  </si>
  <si>
    <t>ANNUAL 5S AUDIT SCHEDULE – 50 ZONES</t>
  </si>
  <si>
    <t>Enter the planned audit week (W1–W4) or date in the yellow cells for each zone and month. When the audit is completed, add ✓ after the week (e.g., 'W2 ✓'). Zone 1 / Jan is a worked example – overwrite it.</t>
  </si>
  <si>
    <t>Zone No.</t>
  </si>
  <si>
    <t>Zone Name</t>
  </si>
  <si>
    <t>Category</t>
  </si>
  <si>
    <t>Zone Owner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</si>
  <si>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</si>
  <si>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</si>
  <si>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</si>
  <si>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</si>
  <si>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</si>
  <si>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</si>
  <si>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</si>
  <si>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</si>
  <si>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</si>
  <si>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</si>
  <si>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</si>
  <si>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</si>
  <si>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Machine Shop Zone 1</t>
  </si>
  <si>
    <t>Shop Floor</t>
  </si>
  <si>
    <t>W2 ✓</t>
  </si>
  <si>
    <t>Machine Shop Zone 2</t>
  </si>
  <si>
    <t>Machine Shop Zone 3</t>
  </si>
  <si>
    <t>Press Shop Zone 1</t>
  </si>
  <si>
    <t>Press Shop Zone 2</t>
  </si>
  <si>
    <t>Weld Shop Zone 1</t>
  </si>
  <si>
    <t>Weld Shop Zone 2</t>
  </si>
  <si>
    <t>Assembly Line 1</t>
  </si>
  <si>
    <t>Assembly Line 2</t>
  </si>
  <si>
    <t>Assembly Line 3</t>
  </si>
  <si>
    <t>Assembly Line 4</t>
  </si>
  <si>
    <t>Paint Shop Zone 1</t>
  </si>
  <si>
    <t>Paint Shop Zone 2</t>
  </si>
  <si>
    <t>Heat Treatment</t>
  </si>
  <si>
    <t>Tool Room</t>
  </si>
  <si>
    <t>RM Store Zone 1</t>
  </si>
  <si>
    <t>Stores</t>
  </si>
  <si>
    <t>RM Store Zone 2</t>
  </si>
  <si>
    <t>Engineering / Spares Store</t>
  </si>
  <si>
    <t>Consumables Store</t>
  </si>
  <si>
    <t>Chemical Store</t>
  </si>
  <si>
    <t>FG Store Zone 1</t>
  </si>
  <si>
    <t>FG Store Zone 2</t>
  </si>
  <si>
    <t>Packing Material Store</t>
  </si>
  <si>
    <t>Packing Area Line 1</t>
  </si>
  <si>
    <t>Packing</t>
  </si>
  <si>
    <t>Packing Area Line 2</t>
  </si>
  <si>
    <t>Dispatch / Loading Bay</t>
  </si>
  <si>
    <t>Boiler House</t>
  </si>
  <si>
    <t>Utility</t>
  </si>
  <si>
    <t>Compressor Room</t>
  </si>
  <si>
    <t>DG Room</t>
  </si>
  <si>
    <t>Electrical Substation / MCC</t>
  </si>
  <si>
    <t>ETP / STP Area</t>
  </si>
  <si>
    <t>Water Treatment Plant</t>
  </si>
  <si>
    <t>Maintenance Workshop</t>
  </si>
  <si>
    <t>Maintenance</t>
  </si>
  <si>
    <t>QC Laboratory</t>
  </si>
  <si>
    <t>Metrology / Calibration Room</t>
  </si>
  <si>
    <t>Plant Head Office</t>
  </si>
  <si>
    <t>Office</t>
  </si>
  <si>
    <t>HR &amp; Admin Office</t>
  </si>
  <si>
    <t>Purchase Office</t>
  </si>
  <si>
    <t>Accounts Office</t>
  </si>
  <si>
    <t>Design / Engineering Office</t>
  </si>
  <si>
    <t>Marketing Office</t>
  </si>
  <si>
    <t>Production / PPC Office</t>
  </si>
  <si>
    <t>Stores Office</t>
  </si>
  <si>
    <t>IT / Server Room</t>
  </si>
  <si>
    <t>Training / Conference Room</t>
  </si>
  <si>
    <t>Security Gate &amp; Time Office</t>
  </si>
  <si>
    <t>Premises</t>
  </si>
  <si>
    <t>Canteen</t>
  </si>
  <si>
    <t>Parking &amp; Internal Roads</t>
  </si>
  <si>
    <t>Garden &amp; Boundary Premises</t>
  </si>
  <si>
    <t>Scrap Yard</t>
  </si>
  <si>
    <t>MONTHLY ZONE-WISE 5S SCORE RECORD – 50 ZONES</t>
  </si>
  <si>
    <t>Enter each zone's monthly audit score (out of 100) from its audit sheet in the yellow cells. Average and Rating calculate automatically. Zone 1 / Jan is a worked example (78) – overwrite it. Rating: ≥ 90 Outstanding | 75–89 On Track | 60–74 Improving | &lt; 60 Needs Support.</t>
  </si>
  <si>
    <t>Avg.</t>
  </si>
  <si>
    <t>Rating</t>
  </si>
  <si>
    <t>PLANT MONTHLY AVERAGE</t>
  </si>
  <si>
    <t>Check Point</t>
  </si>
  <si>
    <t>Yes / No</t>
  </si>
  <si>
    <t>Marks</t>
  </si>
  <si>
    <t>Remarks / Observations</t>
  </si>
  <si>
    <t>Aisles, walkways and emergency exits are completely free of material and obstructions.</t>
  </si>
  <si>
    <t>Stores (RM)</t>
  </si>
  <si>
    <t>Production</t>
  </si>
  <si>
    <t>FG Stores</t>
  </si>
  <si>
    <t>Packing Area</t>
  </si>
  <si>
    <t>Boiler &amp; Utility</t>
  </si>
  <si>
    <t>5S AUDIT CHECK SHEET – SHOP FLOOR</t>
  </si>
  <si>
    <t>Company:</t>
  </si>
  <si>
    <t>Audit Date:</t>
  </si>
  <si>
    <t>Scoring: Yes = 2 marks, No = 0 marks.
Max score = 100.</t>
  </si>
  <si>
    <t>Area / Dept.:</t>
  </si>
  <si>
    <t>Auditor Name:</t>
  </si>
  <si>
    <t>Shift:</t>
  </si>
  <si>
    <t>Auditee / Area Owner:</t>
  </si>
  <si>
    <t>1S – SEIRI (SORT)</t>
  </si>
  <si>
    <t>Only required materials, tools and equipment are present at the workplace; unwanted items have been removed.</t>
  </si>
  <si>
    <t>A red-tag area is defined, marked and used for holding unwanted / doubtful items.</t>
  </si>
  <si>
    <t>Red-tagged items are dispositioned (scrap / return / relocate) within the defined time limit.</t>
  </si>
  <si>
    <t>No obsolete or unused machines, dies, jigs or fixtures are lying on the shop floor.</t>
  </si>
  <si>
    <t>Work-in-process (WIP) inventory is within the defined maximum quantity for each stage.</t>
  </si>
  <si>
    <t>Scrap, rejections and rework items are segregated in identified red bins and cleared regularly.</t>
  </si>
  <si>
    <t>No broken pallets, damaged bins, empty cartons or packing waste are lying in the work area.</t>
  </si>
  <si>
    <t>Only current-revision documents and formats are available at workstations; obsolete papers removed.</t>
  </si>
  <si>
    <t>No personal belongings (bags, food, clothing) are kept in the working area.</t>
  </si>
  <si>
    <t>Sub-total 1S (out of 20)</t>
  </si>
  <si>
    <t>2S – SEITON (SET IN ORDER)</t>
  </si>
  <si>
    <t>A designated, marked location exists for every item (material, tool, trolley, bin).</t>
  </si>
  <si>
    <t>Floor markings (walkways, WIP areas, machine zones, scrap zones) are painted and clearly visible.</t>
  </si>
  <si>
    <t>Tools are arranged on shadow boards / tool trolleys with outlines and labels.</t>
  </si>
  <si>
    <t>All racks, bins and storage locations are labelled with item name / code.</t>
  </si>
  <si>
    <t>All materials on the floor carry identification tags (item, quantity, status).</t>
  </si>
  <si>
    <t>Materials are arranged to enable FIFO (first-in first-out) usage.</t>
  </si>
  <si>
    <t>Frequently used items are placed close to the point of use at convenient height.</t>
  </si>
  <si>
    <t>Gauges, instruments and fixtures are stored in designated protected locations.</t>
  </si>
  <si>
    <t>Cleaning equipment (brooms, mops, dustpans) has a fixed, marked storage place.</t>
  </si>
  <si>
    <t>No material or tools are placed directly on the floor; pallets / stands / bins are used.</t>
  </si>
  <si>
    <t>Sub-total 2S (out of 20)</t>
  </si>
  <si>
    <t>3S – SEISO (SHINE)</t>
  </si>
  <si>
    <t>Shop floor is clean – free of dust, oil, coolant and water spillage.</t>
  </si>
  <si>
    <t>Machines and equipment are clean – no accumulation of dust, grease, chips or burrs.</t>
  </si>
  <si>
    <t>Cleaning schedules with responsibility are displayed at each zone and are being followed.</t>
  </si>
  <si>
    <t>There are no air, oil, water or coolant leakages from machines and pipelines.</t>
  </si>
  <si>
    <t>Dustbins are colour-coded for waste segregation, not overflowing, and emptied regularly.</t>
  </si>
  <si>
    <t>Windows, light fixtures, fans and exhausts are clean and in working condition.</t>
  </si>
  <si>
    <t>Adequate cleaning materials and consumables are available at the workplace.</t>
  </si>
  <si>
    <t>Areas under, behind and around machines are clean and accessible.</t>
  </si>
  <si>
    <t>Drains, gutters and coolant trenches are clean and free-flowing.</t>
  </si>
  <si>
    <t>Abnormalities found during cleaning (loose parts, leaks, cracks) are tagged and reported.</t>
  </si>
  <si>
    <t>Sub-total 3S (out of 20)</t>
  </si>
  <si>
    <t>4S – SEIKETSU (STANDARDIZE)</t>
  </si>
  <si>
    <t>5S zone map with zone-wise ownership / responsibility is displayed and updated.</t>
  </si>
  <si>
    <t>Visual standards (photographs of the desired condition) are displayed for key areas.</t>
  </si>
  <si>
    <t>Standard colour codes for floor marking, pipelines and bins are defined and followed.</t>
  </si>
  <si>
    <t>Daily / weekly 5S checklists are available at workstations and filled regularly.</t>
  </si>
  <si>
    <t>Labels, signboards and identification formats are standardized across the shop floor.</t>
  </si>
  <si>
    <t>Work instructions / SOPs are displayed at workstations in the standard format.</t>
  </si>
  <si>
    <t>Safety signages (PPE, caution, fire, first-aid) are displayed at required locations.</t>
  </si>
  <si>
    <t>Before / after improvement photographs are displayed on the 5S activity board.</t>
  </si>
  <si>
    <t>A standard exists for waste segregation and disposal frequency and is followed.</t>
  </si>
  <si>
    <t>Latest 5S audit scores and trends are displayed on the 5S board.</t>
  </si>
  <si>
    <t>Sub-total 4S (out of 20)</t>
  </si>
  <si>
    <t>5S – SHITSUKE (SUSTAIN)</t>
  </si>
  <si>
    <t>All employees in the area have received 5S training (records available).</t>
  </si>
  <si>
    <t>5S audits are conducted as per the defined schedule without slippage.</t>
  </si>
  <si>
    <t>Corrective actions on previous audit non-conformities are closed on time.</t>
  </si>
  <si>
    <t>Employees follow workplace discipline – PPE usage, gangway discipline, machine rules.</t>
  </si>
  <si>
    <t>Daily 5 to 10 minutes of 5S activity (autonomous cleaning) is practiced by all.</t>
  </si>
  <si>
    <t>A reward / recognition system for best 5S zone or employee exists and is active.</t>
  </si>
  <si>
    <t>Management periodically reviews 5S performance in the area (MRM / Gemba walk).</t>
  </si>
  <si>
    <t>Employees give kaizen / suggestions related to 5S and workplace improvement.</t>
  </si>
  <si>
    <t>5S condition is maintained even without supervision (surprise check basis).</t>
  </si>
  <si>
    <t>5S audit score trend for the area is stable or improving over the last 3 audits.</t>
  </si>
  <si>
    <t>Sub-total 5S (out of 20)</t>
  </si>
  <si>
    <t>TOTAL SCORE (out of 100)</t>
  </si>
  <si>
    <t>PERCENTAGE</t>
  </si>
  <si>
    <t>RATING</t>
  </si>
  <si>
    <t>Rating scale:  ≥ 90% Outstanding  |  75–89% On Track  |  60–74% Improving  |  &lt; 60% Needs Support.  Points scored 'No' must be entered in the corrective action tracker.</t>
  </si>
  <si>
    <t>Auditor Signature: ______________________</t>
  </si>
  <si>
    <t>Area Owner Signature: ______________________</t>
  </si>
  <si>
    <t>5S AUDIT CHECK SHEET – OFFICE</t>
  </si>
  <si>
    <t>Only required files, documents and stationery are kept on desks and in cabinets.</t>
  </si>
  <si>
    <t>Obsolete records beyond the retention period are removed / archived as per policy.</t>
  </si>
  <si>
    <t>Unused or non-working equipment (printers, phones, chairs) is removed from the office.</t>
  </si>
  <si>
    <t>A red-tag / disposal area or process exists for unwanted office items.</t>
  </si>
  <si>
    <t>Drawers and cupboards contain only necessary items; no junk accumulation.</t>
  </si>
  <si>
    <t>Notice boards display only current and relevant circulars; outdated notices removed.</t>
  </si>
  <si>
    <t>Computer desktops and shared drives are free of unnecessary / duplicate files (e-5S).</t>
  </si>
  <si>
    <t>Excess stationery is not hoarded at desks; stock is kept centrally.</t>
  </si>
  <si>
    <t>No unnecessary furniture or cartons block passages and corners.</t>
  </si>
  <si>
    <t>Personal items are kept minimal and within designated storage only.</t>
  </si>
  <si>
    <t>Every file has a designated location with a file index / master list available.</t>
  </si>
  <si>
    <t>Cabinets, racks and shelves are labelled indicating their contents.</t>
  </si>
  <si>
    <t>Files are named, numbered and colour-coded as per the standard system.</t>
  </si>
  <si>
    <t>Any document / file can be retrieved within 60 seconds (retrieval test).</t>
  </si>
  <si>
    <t>Common equipment (printer, scanner, shredder) has a fixed, identified location.</t>
  </si>
  <si>
    <t>Computer cables, chargers and network wires are routed and clipped neatly.</t>
  </si>
  <si>
    <t>Keys are managed on a labelled key board / key register.</t>
  </si>
  <si>
    <t>Shared folders on the server follow a standard naming and folder structure.</t>
  </si>
  <si>
    <t>Frequently used items are within easy reach; rarely used items stored higher / away.</t>
  </si>
  <si>
    <t>Meeting rooms have defined arrangements for projector, remotes, markers and chairs.</t>
  </si>
  <si>
    <t>Desks, tables and counters are clean and free of dust and stains.</t>
  </si>
  <si>
    <t>Floors, carpets and workstation partitions are clean.</t>
  </si>
  <si>
    <t>Computers, keyboards, phones and printers are clean and in working order.</t>
  </si>
  <si>
    <t>Windows, glass partitions, blinds and light fixtures are clean.</t>
  </si>
  <si>
    <t>Air conditioners / fans are clean and serviced (no dust on grills).</t>
  </si>
  <si>
    <t>Dustbins are emptied daily and are not overflowing.</t>
  </si>
  <si>
    <t>Pantry / drinking water area is clean and hygienic.</t>
  </si>
  <si>
    <t>Washrooms attached to the office are clean, dry and stocked with supplies.</t>
  </si>
  <si>
    <t>A housekeeping schedule for the office exists and is being followed.</t>
  </si>
  <si>
    <t>No cobwebs, seepage marks or damaged ceiling tiles / furniture are visible.</t>
  </si>
  <si>
    <t>A named 5S coordinator / zone owner is assigned for the office area.</t>
  </si>
  <si>
    <t>Standard formats exist for file labelling, indexing and correspondence.</t>
  </si>
  <si>
    <t>A clean-desk policy at the end of the day is defined and followed.</t>
  </si>
  <si>
    <t>Document retention and disposal standard is defined and displayed / accessible.</t>
  </si>
  <si>
    <t>Standard e-mail and e-file naming conventions are defined for the department.</t>
  </si>
  <si>
    <t>Visual indicators (labels, signs, floor plans) are standardized across the office.</t>
  </si>
  <si>
    <t>Checklists for office housekeeping / 5S are available and filled regularly.</t>
  </si>
  <si>
    <t>Safety and emergency information (exit plan, assembly point) is displayed.</t>
  </si>
  <si>
    <t>5S board with before / after photos and audit scores is maintained.</t>
  </si>
  <si>
    <t>Meeting room usage rules (booking, cleaning after use) are defined and followed.</t>
  </si>
  <si>
    <t>All office staff have received 5S awareness training (records available).</t>
  </si>
  <si>
    <t>Office 5S audits are conducted as per schedule.</t>
  </si>
  <si>
    <t>Actions on previous audit findings are closed within the target date.</t>
  </si>
  <si>
    <t>Staff clear their desks and log off systems at the end of the day.</t>
  </si>
  <si>
    <t>Files borrowed from central storage are returned to their location after use.</t>
  </si>
  <si>
    <t>Employees maintain e-5S discipline (mailbox cleanup, folder discipline).</t>
  </si>
  <si>
    <t>Management reviews office 5S performance periodically.</t>
  </si>
  <si>
    <t>Improvement suggestions / kaizens are generated by office staff.</t>
  </si>
  <si>
    <t>5S condition is maintained even during peak workload / audits (surprise check).</t>
  </si>
  <si>
    <t>Office 5S score trend is stable or improving over the last 3 audits.</t>
  </si>
  <si>
    <t>5S AUDIT CHECK SHEET – STORES (RM)</t>
  </si>
  <si>
    <t>Only approved and required raw materials are stored; no unwanted items in stores.</t>
  </si>
  <si>
    <t>Non-moving / slow-moving stock is identified, listed and action plan exists.</t>
  </si>
  <si>
    <t>Rejected / on-hold material is segregated in a clearly marked quarantine area.</t>
  </si>
  <si>
    <t>Expired or shelf-life-over materials are removed and dispositioned promptly.</t>
  </si>
  <si>
    <t>Empty drums, cartons, pallets and packing waste are not accumulated inside stores.</t>
  </si>
  <si>
    <t>Damaged racks, bins or handling equipment are removed / repaired, not lying idle.</t>
  </si>
  <si>
    <t>Only current-version documents (GRN formats, registers) are in use.</t>
  </si>
  <si>
    <t>Excess stock beyond defined norms is highlighted and reported.</t>
  </si>
  <si>
    <t>No personal or non-store items are kept inside the store area.</t>
  </si>
  <si>
    <t>A red-tag area is available in stores and cleared within the defined time.</t>
  </si>
  <si>
    <t>Every material has a defined bin / rack location with a location master available.</t>
  </si>
  <si>
    <t>All racks, bins and storage locations are labelled with location codes.</t>
  </si>
  <si>
    <t>Materials carry identification tags – name, code, quantity, GRN no., status.</t>
  </si>
  <si>
    <t>Storage layout supports FIFO / FEFO issue of materials.</t>
  </si>
  <si>
    <t>Heavy items are stored at lower levels; light items at upper levels.</t>
  </si>
  <si>
    <t>Material handling equipment (trolleys, pallet trucks) has designated parking.</t>
  </si>
  <si>
    <t>Receipt, inspection, storage and issue areas are clearly demarcated.</t>
  </si>
  <si>
    <t>Chemicals / hazardous materials are stored separately with MSDS displayed.</t>
  </si>
  <si>
    <t>Stacking height norms are defined and followed; no unsafe stacking.</t>
  </si>
  <si>
    <t>Any item can be located and retrieved within 2–3 minutes (retrieval test).</t>
  </si>
  <si>
    <t>Store floors are clean, dry and free of spillage and dust.</t>
  </si>
  <si>
    <t>Racks, bins and stored materials are free of dust accumulation.</t>
  </si>
  <si>
    <t>Weighing balances and measuring equipment are clean and calibrated (stickers valid).</t>
  </si>
  <si>
    <t>Lighting and ventilation in stores are adequate and fixtures are clean.</t>
  </si>
  <si>
    <t>No rodent / pest activity signs; pest control schedule is followed.</t>
  </si>
  <si>
    <t>Temperature / humidity-controlled storage (if applicable) is monitored and recorded.</t>
  </si>
  <si>
    <t>Dustbins are provided, colour-coded and emptied regularly.</t>
  </si>
  <si>
    <t>Loading / unloading dock area is clean and organized.</t>
  </si>
  <si>
    <t>Cleaning schedule for stores is displayed and followed.</t>
  </si>
  <si>
    <t>Leakage of roof, water lines or seepage is not observed; abnormalities reported.</t>
  </si>
  <si>
    <t>Store zone map with rack numbering and ownership is displayed.</t>
  </si>
  <si>
    <t>Standard labelling format for materials and locations is defined and followed.</t>
  </si>
  <si>
    <t>Min / max stock levels are defined and visually indicated for key items.</t>
  </si>
  <si>
    <t>FIFO / FEFO standard is documented and displayed at the issue area.</t>
  </si>
  <si>
    <t>Standard for quarantine, rejection and scrap handling is defined and followed.</t>
  </si>
  <si>
    <t>Safety signage (no smoking, PPE, MSDS, fire) is displayed at required points.</t>
  </si>
  <si>
    <t>Standard formats for GRN, issue slips and stock records are in use.</t>
  </si>
  <si>
    <t>Colour codes for bins, tags and status labels are standardized.</t>
  </si>
  <si>
    <t>5S checklists for stores are available and filled regularly.</t>
  </si>
  <si>
    <t>5S board with audit scores and improvement photos is maintained.</t>
  </si>
  <si>
    <t>Store personnel are trained in 5S and material handling practices.</t>
  </si>
  <si>
    <t>Perpetual inventory / cycle counting is done as per schedule with accuracy tracked.</t>
  </si>
  <si>
    <t>5S audits of stores are conducted as per schedule.</t>
  </si>
  <si>
    <t>Previous audit non-conformities are closed on time.</t>
  </si>
  <si>
    <t>Materials issued are recorded immediately; no pending entries (system discipline).</t>
  </si>
  <si>
    <t>Store discipline is maintained – no unauthorized entry, gate pass system followed.</t>
  </si>
  <si>
    <t>Housekeeping and FIFO discipline is maintained even without supervision.</t>
  </si>
  <si>
    <t>Suggestions / kaizens for store improvement are generated and implemented.</t>
  </si>
  <si>
    <t>Management reviews store 5S and inventory health periodically.</t>
  </si>
  <si>
    <t>Store 5S audit score trend is stable or improving over the last 3 audits.</t>
  </si>
  <si>
    <t>5S AUDIT CHECK SHEET – PRODUCTION</t>
  </si>
  <si>
    <t>Only materials required for the current production plan are at the line.</t>
  </si>
  <si>
    <t>Unwanted tools, fixtures and change parts are removed from workstations.</t>
  </si>
  <si>
    <t>Rejected parts are segregated in red bins and moved out at defined frequency.</t>
  </si>
  <si>
    <t>Rework items are identified, quantified and stored in a marked area.</t>
  </si>
  <si>
    <t>Obsolete formats, drawings and displays are removed from the line.</t>
  </si>
  <si>
    <t>No excess consumables (gloves, cutting tools, spares) hoarded at stations.</t>
  </si>
  <si>
    <t>Empty packaging, dunnage and trolleys are returned to designated areas promptly.</t>
  </si>
  <si>
    <t>WIP between stations is within the defined standard quantity.</t>
  </si>
  <si>
    <t>A red-tag area is defined near the line and cleared within the time limit.</t>
  </si>
  <si>
    <t>No personal items at workstations.</t>
  </si>
  <si>
    <t>Line layout with marked locations for input, output and WIP material exists.</t>
  </si>
  <si>
    <t>Change-over parts / tooling are stored on labelled racks near the line.</t>
  </si>
  <si>
    <t>Tools at stations are on shadow boards with outlines and labels.</t>
  </si>
  <si>
    <t>Line-side bins are labelled with part number and standard quantity.</t>
  </si>
  <si>
    <t>Material flow follows FIFO with visual indication (lanes, cards, boards).</t>
  </si>
  <si>
    <t>Fixtures, gauges and inspection instruments have designated protected locations.</t>
  </si>
  <si>
    <t>Trolleys, pallets and handling equipment have marked parking locations.</t>
  </si>
  <si>
    <t>Status identification (OK / Not OK / Under Inspection) tags are used correctly.</t>
  </si>
  <si>
    <t>Production boards (plan vs actual, quality, OEE) are placed at defined locations.</t>
  </si>
  <si>
    <t>Nothing is placed directly on the floor; all items on stands, pallets or bins.</t>
  </si>
  <si>
    <t>Machines are cleaned as per the daily autonomous maintenance / CLIT schedule.</t>
  </si>
  <si>
    <t>No oil, coolant, air or water leakage at machines and connections.</t>
  </si>
  <si>
    <t>Machine guards, panels and covers are clean, intact and in place.</t>
  </si>
  <si>
    <t>Floors around the line are free of chips, dust, oil and material spillage.</t>
  </si>
  <si>
    <t>Sensors, limit switches and control panels are clean and dust-free.</t>
  </si>
  <si>
    <t>Chip / scrap conveyors and bins are cleared before overflow.</t>
  </si>
  <si>
    <t>Cleaning-cum-inspection reveals abnormalities which are tagged (fuguai tags).</t>
  </si>
  <si>
    <t>Lighting at workstations is adequate; fixtures are clean and working.</t>
  </si>
  <si>
    <t>Coolant / lubricant condition is checked and maintained as per standard.</t>
  </si>
  <si>
    <t>Cleaning materials are available at the line with a fixed storage place.</t>
  </si>
  <si>
    <t>One-point lessons / visual SOPs are displayed at workstations.</t>
  </si>
  <si>
    <t>CLIT (Clean-Lubricate-Inspect-Tighten) standards are displayed at machines.</t>
  </si>
  <si>
    <t>Quality standards / limit samples are displayed at inspection points.</t>
  </si>
  <si>
    <t>Colour codes for bins, tags, pipelines and floor marking are standardized.</t>
  </si>
  <si>
    <t>Standard WIP quantities and line-side stock norms are visually defined.</t>
  </si>
  <si>
    <t>Abnormality tagging and escalation standard is defined and followed.</t>
  </si>
  <si>
    <t>Safety standards – LOTO, PPE matrix, machine safety signage – are displayed.</t>
  </si>
  <si>
    <t>Daily 5S / start-up checklists are filled at every shift.</t>
  </si>
  <si>
    <t>Skill matrix of operators is displayed and updated.</t>
  </si>
  <si>
    <t>5S board with zone map, scores and improvements is maintained at the line.</t>
  </si>
  <si>
    <t>Operators perform daily autonomous cleaning and inspection without fail.</t>
  </si>
  <si>
    <t>Shift handover includes 5S condition of the line.</t>
  </si>
  <si>
    <t>5S audits are done as per schedule; scores recorded.</t>
  </si>
  <si>
    <t>Actions on previous audit findings are closed on time.</t>
  </si>
  <si>
    <t>Operators follow SOPs and quality discipline consistently.</t>
  </si>
  <si>
    <t>Abnormality tags raised are resolved within the target time.</t>
  </si>
  <si>
    <t>Kaizens / suggestions from operators are generated and implemented.</t>
  </si>
  <si>
    <t>Supervisors / managers conduct regular Gemba walks in the area.</t>
  </si>
  <si>
    <t>5S is maintained during high production pressure (surprise check).</t>
  </si>
  <si>
    <t>Line 5S score trend is stable or improving over the last 3 audits.</t>
  </si>
  <si>
    <t>5S AUDIT CHECK SHEET – FG STORES</t>
  </si>
  <si>
    <t>Only saleable finished goods are stored; no rejected / obsolete FG mixed in.</t>
  </si>
  <si>
    <t>Damaged / customer-returned goods are segregated in a marked area.</t>
  </si>
  <si>
    <t>Non-moving / aged FG stock is identified with an action plan.</t>
  </si>
  <si>
    <t>Empty pallets, broken cartons and strapping waste are not lying in the area.</t>
  </si>
  <si>
    <t>Dispatch-pending and hold materials are clearly separated.</t>
  </si>
  <si>
    <t>Obsolete labels, stickers and documents are removed from the area.</t>
  </si>
  <si>
    <t>Excess packing material is not stored inside FG stores.</t>
  </si>
  <si>
    <t>Damaged racks / pallets are removed or repaired promptly.</t>
  </si>
  <si>
    <t>A red-tag area exists and is cleared within the defined time.</t>
  </si>
  <si>
    <t>No personal or non-FG items inside the FG store.</t>
  </si>
  <si>
    <t>Every SKU has a defined storage location with a location master.</t>
  </si>
  <si>
    <t>Racks and floor locations are labelled with location codes.</t>
  </si>
  <si>
    <t>FG pallets / cartons carry identification – product, batch, quantity, date.</t>
  </si>
  <si>
    <t>Storage and dispatch follow FIFO / FEFO with visual control.</t>
  </si>
  <si>
    <t>Stacking height and pallet loading norms are defined and followed.</t>
  </si>
  <si>
    <t>Dispatch staging area is marked customer-wise / vehicle-wise.</t>
  </si>
  <si>
    <t>Material handling equipment has designated parking and charging areas.</t>
  </si>
  <si>
    <t>Aisle widths are maintained; no blocking of aisles by pallets.</t>
  </si>
  <si>
    <t>Hold / quarantine area for FG is clearly marked and used.</t>
  </si>
  <si>
    <t>Any SKU can be located and retrieved within 2–3 minutes (retrieval test).</t>
  </si>
  <si>
    <t>FG store floor is clean, dry and free of dust and spillage.</t>
  </si>
  <si>
    <t>Stored cartons / pallets are free of dust; top covers used where required.</t>
  </si>
  <si>
    <t>Loading dock and ramp areas are clean and free of debris.</t>
  </si>
  <si>
    <t>Lighting and ventilation are adequate; fixtures are clean.</t>
  </si>
  <si>
    <t>No signs of rodents, pests or bird entry; pest control schedule followed.</t>
  </si>
  <si>
    <t>No roof leakage or water seepage that can damage FG.</t>
  </si>
  <si>
    <t>Dustbins are provided and emptied regularly.</t>
  </si>
  <si>
    <t>Cleaning schedule for FG stores is displayed and followed.</t>
  </si>
  <si>
    <t>Weighing scale / dispatch equipment is clean and calibrated.</t>
  </si>
  <si>
    <t>Vehicles are inspected for cleanliness before loading (checklist available).</t>
  </si>
  <si>
    <t>FG store layout map with locations and ownership is displayed.</t>
  </si>
  <si>
    <t>Standard labelling format for FG identification is defined and followed.</t>
  </si>
  <si>
    <t>Dispatch process standard (pick list, verification, loading) is documented.</t>
  </si>
  <si>
    <t>FIFO / FEFO standard is displayed and followed at picking.</t>
  </si>
  <si>
    <t>Standard for handling damaged / returned goods is defined.</t>
  </si>
  <si>
    <t>Safety signage (speed limit, forklift, PPE, fire) is displayed.</t>
  </si>
  <si>
    <t>Colour codes for status tags (OK / Hold / Damaged) are standardized.</t>
  </si>
  <si>
    <t>Stock-take and reconciliation formats are standardized and in use.</t>
  </si>
  <si>
    <t>5S checklists for FG stores are filled regularly.</t>
  </si>
  <si>
    <t>5S board with audit scores is maintained.</t>
  </si>
  <si>
    <t>FG store staff are trained in 5S, safe stacking and forklift safety.</t>
  </si>
  <si>
    <t>Cycle counts / stock audits are done as per schedule with accuracy tracked.</t>
  </si>
  <si>
    <t>5S audits are conducted as per schedule.</t>
  </si>
  <si>
    <t>Dispatch documentation is completed in real time; no backlog entries.</t>
  </si>
  <si>
    <t>FIFO discipline is verified and maintained without supervision.</t>
  </si>
  <si>
    <t>Vehicle loading discipline (no unsafe loading) is consistently followed.</t>
  </si>
  <si>
    <t>Improvement suggestions for FG stores are generated and implemented.</t>
  </si>
  <si>
    <t>Management reviews FG store 5S and stock health periodically.</t>
  </si>
  <si>
    <t>FG store 5S score trend is stable or improving over the last 3 audits.</t>
  </si>
  <si>
    <t>5S AUDIT CHECK SHEET – PACKING AREA</t>
  </si>
  <si>
    <t>Only packing materials for the current product / batch are at the packing line.</t>
  </si>
  <si>
    <t>Left-over packing materials of previous batches are returned / reconciled.</t>
  </si>
  <si>
    <t>Rejected / damaged packing materials are segregated in marked bins.</t>
  </si>
  <si>
    <t>Obsolete artwork, labels and cartons are removed and destroyed as per procedure.</t>
  </si>
  <si>
    <t>No excess tools, tapes or consumables are hoarded at packing stations.</t>
  </si>
  <si>
    <t>Waste (shrink wrap, strapping, trimmings) is removed at defined frequency.</t>
  </si>
  <si>
    <t>Unused machines / attachments are removed from the packing area.</t>
  </si>
  <si>
    <t>Only current-version packing standards and documents are displayed.</t>
  </si>
  <si>
    <t>A red-tag area is available and cleared within the defined time.</t>
  </si>
  <si>
    <t>No personal items at packing workstations.</t>
  </si>
  <si>
    <t>Packing materials are stored on labelled racks with identified locations.</t>
  </si>
  <si>
    <t>Labels / printed materials are stored in a secure, controlled area with access control.</t>
  </si>
  <si>
    <t>Line clearance board indicates current product, batch and status.</t>
  </si>
  <si>
    <t>Packing tools (tape guns, cutters, staplers) have shadow locations.</t>
  </si>
  <si>
    <t>Input, output and rework stations are clearly marked on the floor.</t>
  </si>
  <si>
    <t>Weighing scales and check-weighers have designated positions.</t>
  </si>
  <si>
    <t>Packing material issue follows FIFO with proper tagging.</t>
  </si>
  <si>
    <t>Finished packed goods movement path to FG store is marked and unobstructed.</t>
  </si>
  <si>
    <t>Batch coding / printing consumables are stored at identified locations.</t>
  </si>
  <si>
    <t>Nothing is placed directly on the floor; pallets and stands used.</t>
  </si>
  <si>
    <t>Packing machines (sealers, wrappers, coders) are clean and free of residue.</t>
  </si>
  <si>
    <t>Packing tables and conveyors are clean and free of dust / adhesive marks.</t>
  </si>
  <si>
    <t>Floors are clean – free of dust, strapping pieces and wrap film.</t>
  </si>
  <si>
    <t>Batch coding heads / printers are clean; print quality is legible.</t>
  </si>
  <si>
    <t>Lighting at inspection / packing stations is adequate and clean.</t>
  </si>
  <si>
    <t>Dustbins are provided, segregated and emptied regularly.</t>
  </si>
  <si>
    <t>Cleaning schedule for the packing area is displayed and followed.</t>
  </si>
  <si>
    <t>No pest / rodent signs in the packing area.</t>
  </si>
  <si>
    <t>Weighing equipment is clean and calibration stickers are valid.</t>
  </si>
  <si>
    <t>Line clearance includes cleaning verification between batch changeovers.</t>
  </si>
  <si>
    <t>Packing standards with photographs / samples are displayed at the line.</t>
  </si>
  <si>
    <t>Line clearance checklist and procedure are standardized and followed.</t>
  </si>
  <si>
    <t>Standard for label control, reconciliation and destruction is defined.</t>
  </si>
  <si>
    <t>Colour codes for bins and status tags are standardized.</t>
  </si>
  <si>
    <t>Standard packing material quantities (BOM) are displayed for each SKU.</t>
  </si>
  <si>
    <t>Safety signage and PPE requirements are displayed and followed.</t>
  </si>
  <si>
    <t>Standard formats for packing records / batch records are in use.</t>
  </si>
  <si>
    <t>Rework / repacking standard is documented and followed.</t>
  </si>
  <si>
    <t>5S checklists for the packing area are filled regularly.</t>
  </si>
  <si>
    <t>5S board with audit scores and improvements is maintained.</t>
  </si>
  <si>
    <t>Packing staff are trained in 5S, line clearance and label control.</t>
  </si>
  <si>
    <t>Line clearance discipline is followed at every changeover without fail.</t>
  </si>
  <si>
    <t>Packing material reconciliation is done for every batch on time.</t>
  </si>
  <si>
    <t>Records are filled online (real time), not backfilled.</t>
  </si>
  <si>
    <t>Workplace discipline is maintained during peak dispatch pressure.</t>
  </si>
  <si>
    <t>Suggestions / kaizens from packing staff are generated and implemented.</t>
  </si>
  <si>
    <t>Supervisors verify 5S condition at every shift start.</t>
  </si>
  <si>
    <t>Packing area 5S score trend is stable or improving over the last 3 audits.</t>
  </si>
  <si>
    <t>5S AUDIT CHECK SHEET – BOILER &amp; UTILITY</t>
  </si>
  <si>
    <t>Only required tools, spares and consumables are kept in the boiler / utility area.</t>
  </si>
  <si>
    <t>Scrapped valves, pipes, insulation and fittings are removed; not lying around.</t>
  </si>
  <si>
    <t>Fuel (coal / briquette / oil) storage is within demarcated limits; no scattering.</t>
  </si>
  <si>
    <t>Ash / residue is collected and disposed at defined frequency; no accumulation.</t>
  </si>
  <si>
    <t>Empty chemical containers and oil drums are removed and stored safely.</t>
  </si>
  <si>
    <t>Obsolete gauges, instruments and panels are removed from the area.</t>
  </si>
  <si>
    <t>No unwanted combustible material is stored near the boiler.</t>
  </si>
  <si>
    <t>Only current-version log sheets and SOPs are in use.</t>
  </si>
  <si>
    <t>A red-tag area is defined and cleared within the time limit.</t>
  </si>
  <si>
    <t>No personal items in the boiler / utility room.</t>
  </si>
  <si>
    <t>All pipelines are colour-coded and labelled with content and flow direction.</t>
  </si>
  <si>
    <t>All valves are numbered / tagged with open-close status indication.</t>
  </si>
  <si>
    <t>Pressure and temperature gauges are marked with normal operating ranges.</t>
  </si>
  <si>
    <t>Water treatment chemicals are stored in labelled, dedicated locations with MSDS.</t>
  </si>
  <si>
    <t>Tools and spares for the utility area are on labelled boards / racks.</t>
  </si>
  <si>
    <t>Firefighting equipment is mounted at marked, accessible locations.</t>
  </si>
  <si>
    <t>Log books, checklists and SOPs have a fixed storage place near the operation desk.</t>
  </si>
  <si>
    <t>Fuel handling equipment has designated storage / parking.</t>
  </si>
  <si>
    <t>Walkways and platforms around boiler / compressors are marked and unobstructed.</t>
  </si>
  <si>
    <t>Electrical panels are labelled and access in front is kept clear (no storage).</t>
  </si>
  <si>
    <t>Boiler house floor is clean – free of ash, coal dust, oil and water.</t>
  </si>
  <si>
    <t>No steam, air, water, or fuel leakages at joints, valves and glands.</t>
  </si>
  <si>
    <t>Insulation on steam lines and boiler surfaces is intact and clean.</t>
  </si>
  <si>
    <t>Compressors, pumps and motors are clean and free of oil accumulation.</t>
  </si>
  <si>
    <t>Gauges and sight glasses are clean and readable.</t>
  </si>
  <si>
    <t>Cooling tower area is clean; no algae overflow or debris.</t>
  </si>
  <si>
    <t>Drains and channels in the utility area are clean and free-flowing.</t>
  </si>
  <si>
    <t>Exhaust fans, louvers and ventilation are clean and functional.</t>
  </si>
  <si>
    <t>Chemical storage area is clean with no spillage; spill kit available.</t>
  </si>
  <si>
    <t>Cleaning schedule for the utility area is displayed and followed.</t>
  </si>
  <si>
    <t>Standard operating procedures for boiler operation are displayed.</t>
  </si>
  <si>
    <t>Daily log sheet format (pressure, temperature, TDS, blowdown) is standardized and filled.</t>
  </si>
  <si>
    <t>Colour code standard for pipelines and cylinders is displayed and followed.</t>
  </si>
  <si>
    <t>Safety valve, mountings and interlock testing schedule is defined and followed.</t>
  </si>
  <si>
    <t>Statutory documents (boiler certificate, operator competency) are valid and displayed.</t>
  </si>
  <si>
    <t>Emergency procedure and shutdown steps are displayed prominently.</t>
  </si>
  <si>
    <t>PPE matrix for the utility area is displayed and followed.</t>
  </si>
  <si>
    <t>Water quality testing standard and frequency are defined and records maintained.</t>
  </si>
  <si>
    <t>Preventive maintenance schedule for utilities is displayed and adhered to.</t>
  </si>
  <si>
    <t>5S checklists and audit score board are maintained for the area.</t>
  </si>
  <si>
    <t>Boiler attendants / operators are qualified and trained (records available).</t>
  </si>
  <si>
    <t>Hourly / shift log readings are recorded in real time without gaps.</t>
  </si>
  <si>
    <t>5S audits of the utility area are conducted as per schedule.</t>
  </si>
  <si>
    <t>Blowdown, soot blowing and water testing discipline is consistently followed.</t>
  </si>
  <si>
    <t>Abnormal readings are escalated and acted upon promptly.</t>
  </si>
  <si>
    <t>Housekeeping is maintained across all shifts, including nights.</t>
  </si>
  <si>
    <t>Energy-saving and improvement suggestions are generated and implemented.</t>
  </si>
  <si>
    <t>Management reviews utility area safety and 5S periodically.</t>
  </si>
  <si>
    <t>Utility area 5S score trend is stable or improving over the last 3 audits.</t>
  </si>
  <si>
    <t>5S AUDIT CHECK SHEET – MAINTENANCE</t>
  </si>
  <si>
    <t>Only required tools and equipment are kept in the maintenance workshop.</t>
  </si>
  <si>
    <t>Scrapped / replaced spares and motors are dispositioned; not accumulating.</t>
  </si>
  <si>
    <t>Obsolete spares (for machines no longer in plant) are identified and removed.</t>
  </si>
  <si>
    <t>Used / waste oil is collected in designated drums and disposed as per norms.</t>
  </si>
  <si>
    <t>Damaged tools are removed from circulation and replaced.</t>
  </si>
  <si>
    <t>No unwanted cables, pipes or fabrication leftovers are lying in the workshop.</t>
  </si>
  <si>
    <t>Old drawings and obsolete manuals are archived / removed from active racks.</t>
  </si>
  <si>
    <t>Workbenches are free of unnecessary items.</t>
  </si>
  <si>
    <t>No personal items in the workshop area.</t>
  </si>
  <si>
    <t>Tools are arranged on shadow boards with outlines; tool inventory list available.</t>
  </si>
  <si>
    <t>Spare parts are stored in labelled bins / racks with a location master.</t>
  </si>
  <si>
    <t>Critical spares are identified and their min / max levels are visually indicated.</t>
  </si>
  <si>
    <t>Lubricants are stored in a dedicated area with colour-coded containers and labels.</t>
  </si>
  <si>
    <t>Measuring instruments are stored in protected cases at designated places.</t>
  </si>
  <si>
    <t>Welding / cutting equipment has a designated, safe storage location.</t>
  </si>
  <si>
    <t>Machine manuals, drawings and history cards are indexed and easily retrievable.</t>
  </si>
  <si>
    <t>Ladders, hoists and slings are stored at designated locations with inspection tags.</t>
  </si>
  <si>
    <t>Maintenance trolleys are equipped and parked at marked locations.</t>
  </si>
  <si>
    <t>Any tool or spare can be retrieved within 2–3 minutes (retrieval test).</t>
  </si>
  <si>
    <t>Workshop floor is clean – free of oil, grease and metal scrap.</t>
  </si>
  <si>
    <t>Workbenches, vices and machines (grinder, drill, lathe) are clean.</t>
  </si>
  <si>
    <t>No oil / grease spillage around stored lubricants; spill trays used.</t>
  </si>
  <si>
    <t>Tools are cleaned before being returned to their locations.</t>
  </si>
  <si>
    <t>Exhaust and ventilation in the workshop are adequate and clean.</t>
  </si>
  <si>
    <t>Waste bins (metal scrap, cotton waste, general) are segregated and cleared.</t>
  </si>
  <si>
    <t>Lighting in the workshop is adequate and fixtures are clean.</t>
  </si>
  <si>
    <t>Electrical panels and DBs in the workshop are clean and closed.</t>
  </si>
  <si>
    <t>Cleaning schedule for the workshop is displayed and followed.</t>
  </si>
  <si>
    <t>Contaminated cotton waste / used gloves are disposed as hazardous waste.</t>
  </si>
  <si>
    <t>Preventive maintenance schedule for all machines is displayed and updated.</t>
  </si>
  <si>
    <t>Standard formats for work orders, PM checklists and history cards are in use.</t>
  </si>
  <si>
    <t>Lubrication standards (type, quantity, frequency) are defined machine-wise.</t>
  </si>
  <si>
    <t>Colour code standard for lubricants and containers is followed.</t>
  </si>
  <si>
    <t>Calibration schedule for instruments is maintained with valid stickers.</t>
  </si>
  <si>
    <t>LOTO (lock-out tag-out) procedure and hardware are standardized and available.</t>
  </si>
  <si>
    <t>Standard for spare parts coding and storage is defined and followed.</t>
  </si>
  <si>
    <t>Safety signage and PPE matrix for workshop jobs are displayed.</t>
  </si>
  <si>
    <t>Breakdown analysis format (why-why) is standardized and in use.</t>
  </si>
  <si>
    <t>5S checklists and score board for the workshop are maintained.</t>
  </si>
  <si>
    <t>Maintenance staff are trained in 5S, LOTO and safe work practices.</t>
  </si>
  <si>
    <t>PM compliance is tracked and achieved as per schedule.</t>
  </si>
  <si>
    <t>Tools are accounted for at shift end (no missing tools).</t>
  </si>
  <si>
    <t>5S audits of the workshop are conducted as per schedule.</t>
  </si>
  <si>
    <t>Work permits (height, hot work, confined space) are followed without exception.</t>
  </si>
  <si>
    <t>Breakdown records and history cards are updated in real time.</t>
  </si>
  <si>
    <t>Improvement / kaizen ideas from technicians are generated and implemented.</t>
  </si>
  <si>
    <t>Workshop discipline is maintained even during breakdown pressure.</t>
  </si>
  <si>
    <t>Workshop 5S score trend is stable or improving over the last 3 audits.</t>
  </si>
  <si>
    <t>5S AUDIT CHECK SHEET – PREMISES</t>
  </si>
  <si>
    <t>No scrap, unused equipment or construction debris is lying in open areas.</t>
  </si>
  <si>
    <t>The scrap yard is demarcated; scrap is only within the yard, sorted by type.</t>
  </si>
  <si>
    <t>Unused vehicles / trolleys are not abandoned in the premises.</t>
  </si>
  <si>
    <t>No unwanted vegetation overgrowth around buildings and boundaries.</t>
  </si>
  <si>
    <t>Drain covers, gratings and paver blocks are intact; broken ones replaced.</t>
  </si>
  <si>
    <t>No accumulated garbage or littering in open areas.</t>
  </si>
  <si>
    <t>Old banners, damaged signboards and posters are removed.</t>
  </si>
  <si>
    <t>Material storage in open areas is only in designated, approved locations.</t>
  </si>
  <si>
    <t>Roof tops and terraces are free of unwanted material.</t>
  </si>
  <si>
    <t>A disposal plan for yard scrap exists and lifting is done at defined frequency.</t>
  </si>
  <si>
    <t>Roads and pathways are marked with lane discipline where required.</t>
  </si>
  <si>
    <t>Parking areas for cars, two-wheelers and trucks are marked and used correctly.</t>
  </si>
  <si>
    <t>Direction signboards to departments / blocks are installed and visible.</t>
  </si>
  <si>
    <t>Fire hydrants, extinguisher points and assembly points are marked and unobstructed.</t>
  </si>
  <si>
    <t>Security cabin has organized registers, keys and visitor management materials.</t>
  </si>
  <si>
    <t>Waste collection points are designated with segregated, labelled containers.</t>
  </si>
  <si>
    <t>Cycle / trolley stands and shelters are designated and used.</t>
  </si>
  <si>
    <t>Truck waiting and loading / unloading areas are demarcated.</t>
  </si>
  <si>
    <t>Garden equipment and housekeeping materials have designated storage.</t>
  </si>
  <si>
    <t>Main gate area is organized – barriers, weighbridge and displays in order.</t>
  </si>
  <si>
    <t>Roads and open areas are clean and swept regularly.</t>
  </si>
  <si>
    <t>Storm water drains are clean, covered and free-flowing (no blockage).</t>
  </si>
  <si>
    <t>Lawns, gardens and plantation are maintained and watered.</t>
  </si>
  <si>
    <t>Building exteriors, gates and boundary walls are in good, clean condition.</t>
  </si>
  <si>
    <t>Street lights and area lighting are working; fixtures clean.</t>
  </si>
  <si>
    <t>Toilets and washrooms in the premises are clean, dry and stocked.</t>
  </si>
  <si>
    <t>Canteen and rest areas are clean and hygienic (food safety practices).</t>
  </si>
  <si>
    <t>ETP / STP area is clean and odour is controlled.</t>
  </si>
  <si>
    <t>Water logging is not observed anywhere in the premises.</t>
  </si>
  <si>
    <t>Housekeeping schedule for the premises is displayed and followed.</t>
  </si>
  <si>
    <t>Premises zone map with area-wise ownership is defined and displayed.</t>
  </si>
  <si>
    <t>Waste segregation standard (dry / wet / hazardous) is displayed at collection points.</t>
  </si>
  <si>
    <t>Statutory display boards (factory license, policies) are updated and legible.</t>
  </si>
  <si>
    <t>Safety and traffic rules inside the premises are displayed (speed limits, PPE zones).</t>
  </si>
  <si>
    <t>Standard checklists for housekeeping of common areas are in use.</t>
  </si>
  <si>
    <t>Emergency evacuation plan and assembly point maps are displayed at key points.</t>
  </si>
  <si>
    <t>Visitor and contractor management standard (induction, PPE, movement) is followed.</t>
  </si>
  <si>
    <t>Rainwater / drainage maintenance standard exists and is followed seasonally.</t>
  </si>
  <si>
    <t>Garden and facade maintenance schedule is defined and followed.</t>
  </si>
  <si>
    <t>5S board for premises with audit scores is maintained.</t>
  </si>
  <si>
    <t>Housekeeping staff / contractors are trained and monitored via checklists.</t>
  </si>
  <si>
    <t>Daily rounds by admin / security cover premises condition with reporting.</t>
  </si>
  <si>
    <t>5S audits of premises are conducted as per schedule.</t>
  </si>
  <si>
    <t>Employees follow premises discipline – parking, littering, smoking zones.</t>
  </si>
  <si>
    <t>Waste is lifted by authorized vendors at the defined frequency with records.</t>
  </si>
  <si>
    <t>Contractors follow housekeeping norms at their work sites within premises.</t>
  </si>
  <si>
    <t>Improvement suggestions for premises are generated and implemented.</t>
  </si>
  <si>
    <t>Management review / plant round covers premises 5S periodically.</t>
  </si>
  <si>
    <t>Premises 5S score trend is stable or improving over the last 3 audits.</t>
  </si>
  <si>
    <t>Mr XYZ</t>
  </si>
  <si>
    <t>Auditor</t>
  </si>
  <si>
    <t>Prepared by AB Associates, Nashik.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</si>
</sst>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charset val="1"/>
    </font>
    <font>
      <b/>
      <sz val="14"/>
      <color rgb="FFFFFFFF"/>
      <name val="Arial"/>
      <family val="2"/>
    </font>
    <font>
      <b/>
      <sz val="11"/>
      <color rgb="FF1F3864"/>
      <name val="Arial"/>
      <family val="2"/>
    </font>
    <font>
      <b/>
      <sz val="10"/>
      <color rgb="FFFFFFFF"/>
      <name val="Arial"/>
      <family val="2"/>
    </font>
    <font>
      <sz val="10"/>
      <color rgb="FF000000"/>
      <name val="Arial"/>
      <family val="2"/>
    </font>
    <font>
      <sz val="9"/>
      <color rgb="FF444444"/>
      <name val="Arial"/>
      <family val="2"/>
    </font>
    <font>
      <b/>
      <sz val="10"/>
      <color rgb="FF000000"/>
      <name val="Arial"/>
      <family val="2"/>
    </font>
    <font>
      <b/>
      <sz val="10"/>
      <color rgb="FF1F3864"/>
      <name val="Arial"/>
      <family val="2"/>
    </font>
    <font>
      <b/>
      <sz val="11"/>
      <color rgb="FFFFFFFF"/>
      <name val="Arial"/>
      <family val="2"/>
    </font>
    <font>
      <i/>
      <sz val="9"/>
      <color rgb="FF444444"/>
      <name val="Arial"/>
      <family val="2"/>
    </font>
    <font>
      <i/>
      <sz val="11"/>
      <color theme="0" tint="-0.499984740745262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5B6"/>
        <bgColor rgb="FF0066CC"/>
      </patternFill>
    </fill>
    <fill>
      <patternFill patternType="solid">
        <fgColor rgb="FFFFF2CC"/>
        <bgColor rgb="FFE2EFDA"/>
      </patternFill>
    </fill>
    <fill>
      <patternFill patternType="solid">
        <fgColor rgb="FFE2EFDA"/>
        <bgColor rgb="FFFFF2CC"/>
      </patternFill>
    </fill>
    <fill>
      <patternFill patternType="solid">
        <fgColor rgb="FFD9D9D9"/>
        <bgColor rgb="FFE2EFDA"/>
      </patternFill>
    </fill>
  </fills>
  <borders count="5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2" borderId="1" xfId="0" applyFill="1" applyBorder="1"/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vertical="center" wrapText="1"/>
    </xf>
    <xf numFmtId="0" fontId="4" fillId="4" borderId="1" xfId="0" applyFont="1" applyFill="1" applyBorder="1"/>
    <xf numFmtId="0" fontId="6" fillId="0" borderId="0" xfId="0" applyFont="1"/>
    <xf numFmtId="0" fontId="6" fillId="6" borderId="1" xfId="0" applyFont="1" applyFill="1" applyBorder="1" applyAlignment="1">
      <alignment horizontal="center" vertical="center"/>
    </xf>
    <xf numFmtId="0" fontId="0" fillId="6" borderId="1" xfId="0" applyFill="1" applyBorder="1"/>
    <xf numFmtId="0" fontId="8" fillId="2" borderId="1" xfId="0" applyFont="1" applyFill="1" applyBorder="1" applyAlignment="1">
      <alignment horizontal="center" vertical="center"/>
    </xf>
    <xf numFmtId="9" fontId="6" fillId="0" borderId="1" xfId="0" applyNumberFormat="1" applyFont="1" applyBorder="1" applyAlignment="1">
      <alignment horizontal="center" vertical="center"/>
    </xf>
    <xf numFmtId="0" fontId="0" fillId="0" borderId="1" xfId="0" applyBorder="1"/>
    <xf numFmtId="0" fontId="4" fillId="0" borderId="0" xfId="0" applyFont="1"/>
    <xf numFmtId="0" fontId="6" fillId="0" borderId="1" xfId="0" applyFont="1" applyBorder="1" applyAlignment="1">
      <alignment horizontal="left" vertical="center"/>
    </xf>
    <xf numFmtId="0" fontId="10" fillId="0" borderId="0" xfId="0" applyFont="1"/>
    <xf numFmtId="0" fontId="6" fillId="0" borderId="4" xfId="0" applyFont="1" applyBorder="1"/>
    <xf numFmtId="0" fontId="4" fillId="4" borderId="4" xfId="0" applyFont="1" applyFill="1" applyBorder="1"/>
    <xf numFmtId="0" fontId="6" fillId="0" borderId="4" xfId="0" applyFont="1" applyBorder="1" applyAlignment="1">
      <alignment vertical="top" wrapText="1"/>
    </xf>
    <xf numFmtId="0" fontId="6" fillId="0" borderId="4" xfId="0" applyFont="1" applyBorder="1" applyAlignment="1">
      <alignment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9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right" vertical="center"/>
    </xf>
    <xf numFmtId="0" fontId="5" fillId="0" borderId="0" xfId="0" applyFont="1"/>
    <xf numFmtId="0" fontId="7" fillId="5" borderId="1" xfId="0" applyFont="1" applyFill="1" applyBorder="1" applyAlignment="1">
      <alignment horizontal="left" vertical="center"/>
    </xf>
    <xf numFmtId="0" fontId="6" fillId="6" borderId="1" xfId="0" applyFont="1" applyFill="1" applyBorder="1" applyAlignment="1">
      <alignment horizontal="right" vertical="center"/>
    </xf>
    <xf numFmtId="0" fontId="8" fillId="2" borderId="1" xfId="0" applyFont="1" applyFill="1" applyBorder="1" applyAlignment="1">
      <alignment horizontal="right" vertical="center"/>
    </xf>
    <xf numFmtId="0" fontId="6" fillId="0" borderId="1" xfId="0" applyFont="1" applyBorder="1" applyAlignment="1">
      <alignment horizontal="right" vertical="center"/>
    </xf>
    <xf numFmtId="0" fontId="5" fillId="0" borderId="0" xfId="0" applyFont="1" applyAlignment="1">
      <alignment vertical="center" wrapText="1"/>
    </xf>
    <xf numFmtId="0" fontId="5" fillId="0" borderId="4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4444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5"/>
  <sheetViews>
    <sheetView showGridLines="0" zoomScaleNormal="100" workbookViewId="0">
      <selection sqref="A1:F1"/>
    </sheetView>
  </sheetViews>
  <sheetFormatPr defaultColWidth="8.5703125" defaultRowHeight="15" x14ac:dyDescent="0.25"/>
  <cols>
    <col min="1" max="1" width="6" customWidth="1"/>
    <col min="2" max="2" width="22" customWidth="1"/>
    <col min="3" max="3" width="26" customWidth="1"/>
    <col min="4" max="5" width="20" customWidth="1"/>
    <col min="6" max="6" width="34" customWidth="1"/>
  </cols>
  <sheetData>
    <row r="1" spans="1:6" ht="25.5" customHeight="1" x14ac:dyDescent="0.25">
      <c r="A1" s="29" t="s">
        <v>0</v>
      </c>
      <c r="B1" s="29"/>
      <c r="C1" s="29"/>
      <c r="D1" s="29"/>
      <c r="E1" s="29"/>
      <c r="F1" s="29"/>
    </row>
    <row r="3" spans="1:6" x14ac:dyDescent="0.25">
      <c r="A3" s="30" t="s">
        <v>1</v>
      </c>
      <c r="B3" s="30"/>
      <c r="C3" s="30"/>
      <c r="D3" s="30"/>
      <c r="E3" s="30"/>
      <c r="F3" s="30"/>
    </row>
    <row r="4" spans="1:6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</row>
    <row r="5" spans="1:6" ht="25.5" customHeight="1" x14ac:dyDescent="0.25">
      <c r="A5" s="2">
        <v>1</v>
      </c>
      <c r="B5" s="3" t="s">
        <v>8</v>
      </c>
      <c r="C5" s="4"/>
      <c r="D5" s="4"/>
      <c r="E5" s="4"/>
      <c r="F5" s="5" t="s">
        <v>9</v>
      </c>
    </row>
    <row r="6" spans="1:6" ht="25.5" customHeight="1" x14ac:dyDescent="0.25">
      <c r="A6" s="2">
        <v>2</v>
      </c>
      <c r="B6" s="3" t="s">
        <v>10</v>
      </c>
      <c r="C6" s="4"/>
      <c r="D6" s="4"/>
      <c r="E6" s="4"/>
      <c r="F6" s="5" t="s">
        <v>11</v>
      </c>
    </row>
    <row r="7" spans="1:6" ht="25.5" customHeight="1" x14ac:dyDescent="0.25">
      <c r="A7" s="2">
        <v>3</v>
      </c>
      <c r="B7" s="3" t="s">
        <v>12</v>
      </c>
      <c r="C7" s="4"/>
      <c r="D7" s="4"/>
      <c r="E7" s="4"/>
      <c r="F7" s="5" t="s">
        <v>13</v>
      </c>
    </row>
    <row r="8" spans="1:6" ht="25.5" customHeight="1" x14ac:dyDescent="0.25">
      <c r="A8" s="2">
        <v>4</v>
      </c>
      <c r="B8" s="3" t="s">
        <v>14</v>
      </c>
      <c r="C8" s="4"/>
      <c r="D8" s="4"/>
      <c r="E8" s="4"/>
      <c r="F8" s="5" t="s">
        <v>15</v>
      </c>
    </row>
    <row r="9" spans="1:6" ht="25.5" customHeight="1" x14ac:dyDescent="0.25">
      <c r="A9" s="2">
        <v>5</v>
      </c>
      <c r="B9" s="3" t="s">
        <v>16</v>
      </c>
      <c r="C9" s="4"/>
      <c r="D9" s="4"/>
      <c r="E9" s="4"/>
      <c r="F9" s="5" t="s">
        <v>17</v>
      </c>
    </row>
    <row r="10" spans="1:6" ht="25.5" customHeight="1" x14ac:dyDescent="0.25">
      <c r="A10" s="2">
        <v>6</v>
      </c>
      <c r="B10" s="3" t="s">
        <v>18</v>
      </c>
      <c r="C10" s="4"/>
      <c r="D10" s="4"/>
      <c r="E10" s="4"/>
      <c r="F10" s="5" t="s">
        <v>19</v>
      </c>
    </row>
    <row r="11" spans="1:6" ht="25.5" customHeight="1" x14ac:dyDescent="0.25">
      <c r="A11" s="2">
        <v>7</v>
      </c>
      <c r="B11" s="3" t="s">
        <v>20</v>
      </c>
      <c r="C11" s="4"/>
      <c r="D11" s="4"/>
      <c r="E11" s="4"/>
      <c r="F11" s="5" t="s">
        <v>21</v>
      </c>
    </row>
    <row r="12" spans="1:6" ht="25.5" customHeight="1" x14ac:dyDescent="0.25">
      <c r="A12" s="2">
        <v>8</v>
      </c>
      <c r="B12" s="3" t="s">
        <v>22</v>
      </c>
      <c r="C12" s="4"/>
      <c r="D12" s="4"/>
      <c r="E12" s="4"/>
      <c r="F12" s="5" t="s">
        <v>23</v>
      </c>
    </row>
    <row r="14" spans="1:6" x14ac:dyDescent="0.25">
      <c r="A14" s="30" t="s">
        <v>24</v>
      </c>
      <c r="B14" s="30"/>
      <c r="C14" s="30"/>
      <c r="D14" s="30"/>
      <c r="E14" s="30"/>
      <c r="F14" s="30"/>
    </row>
    <row r="15" spans="1:6" x14ac:dyDescent="0.25">
      <c r="A15" s="1" t="s">
        <v>2</v>
      </c>
      <c r="B15" s="33" t="s">
        <v>25</v>
      </c>
      <c r="C15" s="34"/>
      <c r="D15" s="1" t="s">
        <v>5</v>
      </c>
      <c r="E15" s="1" t="s">
        <v>6</v>
      </c>
      <c r="F15" s="1"/>
    </row>
    <row r="16" spans="1:6" ht="19.5" customHeight="1" x14ac:dyDescent="0.25">
      <c r="A16" s="2">
        <v>1</v>
      </c>
      <c r="B16" s="27" t="s">
        <v>593</v>
      </c>
      <c r="C16" s="28"/>
      <c r="D16" s="4" t="s">
        <v>26</v>
      </c>
      <c r="E16" s="4" t="s">
        <v>27</v>
      </c>
      <c r="F16" s="4"/>
    </row>
    <row r="17" spans="1:6" ht="19.5" customHeight="1" x14ac:dyDescent="0.25">
      <c r="A17" s="2">
        <v>2</v>
      </c>
      <c r="B17" s="27"/>
      <c r="C17" s="28"/>
      <c r="D17" s="4"/>
      <c r="E17" s="4"/>
      <c r="F17" s="4"/>
    </row>
    <row r="18" spans="1:6" ht="19.5" customHeight="1" x14ac:dyDescent="0.25">
      <c r="A18" s="2">
        <v>3</v>
      </c>
      <c r="B18" s="27"/>
      <c r="C18" s="28"/>
      <c r="D18" s="4"/>
      <c r="E18" s="4"/>
      <c r="F18" s="4"/>
    </row>
    <row r="19" spans="1:6" ht="19.5" customHeight="1" x14ac:dyDescent="0.25">
      <c r="A19" s="2">
        <v>4</v>
      </c>
      <c r="B19" s="27"/>
      <c r="C19" s="28"/>
      <c r="D19" s="4"/>
      <c r="E19" s="4"/>
      <c r="F19" s="4"/>
    </row>
    <row r="20" spans="1:6" ht="19.5" customHeight="1" x14ac:dyDescent="0.25">
      <c r="A20" s="2">
        <v>5</v>
      </c>
      <c r="B20" s="27"/>
      <c r="C20" s="28"/>
      <c r="D20" s="4"/>
      <c r="E20" s="4"/>
      <c r="F20" s="4"/>
    </row>
    <row r="21" spans="1:6" ht="19.5" customHeight="1" x14ac:dyDescent="0.25">
      <c r="A21" s="2">
        <v>6</v>
      </c>
      <c r="B21" s="27"/>
      <c r="C21" s="28"/>
      <c r="D21" s="4"/>
      <c r="E21" s="4"/>
      <c r="F21" s="4"/>
    </row>
    <row r="22" spans="1:6" ht="19.5" customHeight="1" x14ac:dyDescent="0.25">
      <c r="A22" s="2">
        <v>7</v>
      </c>
      <c r="B22" s="27"/>
      <c r="C22" s="28"/>
      <c r="D22" s="4"/>
      <c r="E22" s="4"/>
      <c r="F22" s="4"/>
    </row>
    <row r="23" spans="1:6" ht="19.5" customHeight="1" x14ac:dyDescent="0.25">
      <c r="A23" s="2">
        <v>8</v>
      </c>
      <c r="B23" s="27"/>
      <c r="C23" s="28"/>
      <c r="D23" s="4"/>
      <c r="E23" s="4"/>
      <c r="F23" s="4"/>
    </row>
    <row r="24" spans="1:6" ht="19.5" customHeight="1" x14ac:dyDescent="0.25">
      <c r="A24" s="2">
        <v>9</v>
      </c>
      <c r="B24" s="27"/>
      <c r="C24" s="28"/>
      <c r="D24" s="4"/>
      <c r="E24" s="4"/>
      <c r="F24" s="4"/>
    </row>
    <row r="25" spans="1:6" ht="19.5" customHeight="1" x14ac:dyDescent="0.25">
      <c r="A25" s="2">
        <v>10</v>
      </c>
      <c r="B25" s="27"/>
      <c r="C25" s="28"/>
      <c r="D25" s="4"/>
      <c r="E25" s="4"/>
      <c r="F25" s="4"/>
    </row>
    <row r="26" spans="1:6" ht="19.5" customHeight="1" x14ac:dyDescent="0.25">
      <c r="A26" s="2">
        <v>11</v>
      </c>
      <c r="B26" s="27"/>
      <c r="C26" s="28"/>
      <c r="D26" s="4"/>
      <c r="E26" s="4"/>
      <c r="F26" s="4"/>
    </row>
    <row r="27" spans="1:6" ht="19.5" customHeight="1" x14ac:dyDescent="0.25">
      <c r="A27" s="2">
        <v>12</v>
      </c>
      <c r="B27" s="27"/>
      <c r="C27" s="28"/>
      <c r="D27" s="4"/>
      <c r="E27" s="4"/>
      <c r="F27" s="4"/>
    </row>
    <row r="28" spans="1:6" ht="19.5" customHeight="1" x14ac:dyDescent="0.25">
      <c r="A28" s="2">
        <v>13</v>
      </c>
      <c r="B28" s="27"/>
      <c r="C28" s="28"/>
      <c r="D28" s="4"/>
      <c r="E28" s="4"/>
      <c r="F28" s="4"/>
    </row>
    <row r="29" spans="1:6" ht="19.5" customHeight="1" x14ac:dyDescent="0.25">
      <c r="A29" s="2">
        <v>14</v>
      </c>
      <c r="B29" s="27"/>
      <c r="C29" s="28"/>
      <c r="D29" s="4"/>
      <c r="E29" s="4"/>
      <c r="F29" s="4"/>
    </row>
    <row r="30" spans="1:6" ht="19.5" customHeight="1" x14ac:dyDescent="0.25">
      <c r="A30" s="2">
        <v>15</v>
      </c>
      <c r="B30" s="27"/>
      <c r="C30" s="28"/>
      <c r="D30" s="4"/>
      <c r="E30" s="4"/>
      <c r="F30" s="4"/>
    </row>
    <row r="31" spans="1:6" ht="19.5" customHeight="1" x14ac:dyDescent="0.25">
      <c r="A31" s="2">
        <v>16</v>
      </c>
      <c r="B31" s="27"/>
      <c r="C31" s="28"/>
      <c r="D31" s="4"/>
      <c r="E31" s="4"/>
      <c r="F31" s="4"/>
    </row>
    <row r="32" spans="1:6" ht="19.5" customHeight="1" x14ac:dyDescent="0.25">
      <c r="A32" s="2">
        <v>17</v>
      </c>
      <c r="B32" s="27"/>
      <c r="C32" s="28"/>
      <c r="D32" s="4"/>
      <c r="E32" s="4"/>
      <c r="F32" s="4"/>
    </row>
    <row r="33" spans="1:6" ht="19.5" customHeight="1" x14ac:dyDescent="0.25">
      <c r="A33" s="2">
        <v>18</v>
      </c>
      <c r="B33" s="27"/>
      <c r="C33" s="28"/>
      <c r="D33" s="4"/>
      <c r="E33" s="4"/>
      <c r="F33" s="4"/>
    </row>
    <row r="35" spans="1:6" ht="39.75" customHeight="1" x14ac:dyDescent="0.25">
      <c r="A35" s="31" t="s">
        <v>595</v>
      </c>
      <c r="B35" s="32"/>
      <c r="C35" s="32"/>
      <c r="D35" s="32"/>
      <c r="E35" s="32"/>
      <c r="F35" s="32"/>
    </row>
  </sheetData>
  <mergeCells count="23">
    <mergeCell ref="A1:F1"/>
    <mergeCell ref="A3:F3"/>
    <mergeCell ref="A14:F14"/>
    <mergeCell ref="A35:F35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32:C32"/>
    <mergeCell ref="B33:C33"/>
    <mergeCell ref="B27:C27"/>
    <mergeCell ref="B28:C28"/>
    <mergeCell ref="B29:C29"/>
    <mergeCell ref="B30:C30"/>
    <mergeCell ref="B31:C3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55"/>
  <sheetViews>
    <sheetView showGridLines="0" zoomScaleNormal="10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D6" sqref="D6"/>
    </sheetView>
  </sheetViews>
  <sheetFormatPr defaultColWidth="8.5703125" defaultRowHeight="15" x14ac:dyDescent="0.25"/>
  <cols>
    <col min="1" max="1" width="5" customWidth="1"/>
    <col min="2" max="2" width="30" customWidth="1"/>
    <col min="3" max="3" width="12" customWidth="1"/>
    <col min="4" max="4" width="10" customWidth="1"/>
    <col min="5" max="5" width="16" customWidth="1"/>
    <col min="6" max="17" width="7" customWidth="1"/>
  </cols>
  <sheetData>
    <row r="1" spans="1:17" ht="25.5" customHeight="1" x14ac:dyDescent="0.25">
      <c r="A1" s="29" t="s">
        <v>28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</row>
    <row r="3" spans="1:17" ht="30" customHeight="1" x14ac:dyDescent="0.25">
      <c r="A3" s="32" t="s">
        <v>29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</row>
    <row r="5" spans="1:17" ht="38.25" x14ac:dyDescent="0.25">
      <c r="A5" s="1" t="s">
        <v>30</v>
      </c>
      <c r="B5" s="1" t="s">
        <v>31</v>
      </c>
      <c r="C5" s="1" t="s">
        <v>32</v>
      </c>
      <c r="D5" s="1" t="s">
        <v>594</v>
      </c>
      <c r="E5" s="1" t="s">
        <v>33</v>
      </c>
      <c r="F5" s="1" t="s">
        <v>34</v>
      </c>
      <c r="G5" s="1" t="s">
        <v>35</v>
      </c>
      <c r="H5" s="1" t="s">
        <v>36</v>
      </c>
      <c r="I5" s="1" t="s">
        <v>37</v>
      </c>
      <c r="J5" s="1" t="s">
        <v>38</v>
      </c>
      <c r="K5" s="1" t="s">
        <v>39</v>
      </c>
      <c r="L5" s="1" t="s">
        <v>40</v>
      </c>
      <c r="M5" s="1" t="s">
        <v>41</v>
      </c>
      <c r="N5" s="1" t="s">
        <v>42</v>
      </c>
      <c r="O5" s="1" t="s">
        <v>43</v>
      </c>
      <c r="P5" s="1" t="s">
        <v>44</v>
      </c>
      <c r="Q5" s="1" t="s">
        <v>45</v>
      </c>
    </row>
    <row r="6" spans="1:17" ht="18" customHeight="1" x14ac:dyDescent="0.25">
      <c r="A6" s="2">
        <v>1</v>
      </c>
      <c r="B6" s="4" t="s">
        <v>46</v>
      </c>
      <c r="C6" s="7" t="s">
        <v>47</v>
      </c>
      <c r="D6" s="6"/>
      <c r="E6" s="4"/>
      <c r="F6" s="6" t="s">
        <v>48</v>
      </c>
      <c r="G6" s="6"/>
      <c r="H6" s="6"/>
      <c r="I6" s="6"/>
      <c r="J6" s="6"/>
      <c r="K6" s="6"/>
      <c r="L6" s="6"/>
      <c r="M6" s="6"/>
      <c r="N6" s="6"/>
      <c r="O6" s="6"/>
      <c r="P6" s="6"/>
      <c r="Q6" s="6"/>
    </row>
    <row r="7" spans="1:17" ht="18" customHeight="1" x14ac:dyDescent="0.25">
      <c r="A7" s="2">
        <v>2</v>
      </c>
      <c r="B7" s="4" t="s">
        <v>49</v>
      </c>
      <c r="C7" s="7" t="s">
        <v>47</v>
      </c>
      <c r="D7" s="6"/>
      <c r="E7" s="4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</row>
    <row r="8" spans="1:17" ht="18" customHeight="1" x14ac:dyDescent="0.25">
      <c r="A8" s="2">
        <v>3</v>
      </c>
      <c r="B8" s="4" t="s">
        <v>50</v>
      </c>
      <c r="C8" s="7" t="s">
        <v>47</v>
      </c>
      <c r="D8" s="6"/>
      <c r="E8" s="4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</row>
    <row r="9" spans="1:17" ht="18" customHeight="1" x14ac:dyDescent="0.25">
      <c r="A9" s="2">
        <v>4</v>
      </c>
      <c r="B9" s="4" t="s">
        <v>51</v>
      </c>
      <c r="C9" s="7" t="s">
        <v>47</v>
      </c>
      <c r="D9" s="6"/>
      <c r="E9" s="4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</row>
    <row r="10" spans="1:17" ht="18" customHeight="1" x14ac:dyDescent="0.25">
      <c r="A10" s="2">
        <v>5</v>
      </c>
      <c r="B10" s="4" t="s">
        <v>52</v>
      </c>
      <c r="C10" s="7" t="s">
        <v>47</v>
      </c>
      <c r="D10" s="6"/>
      <c r="E10" s="4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</row>
    <row r="11" spans="1:17" ht="18" customHeight="1" x14ac:dyDescent="0.25">
      <c r="A11" s="2">
        <v>6</v>
      </c>
      <c r="B11" s="4" t="s">
        <v>53</v>
      </c>
      <c r="C11" s="7" t="s">
        <v>47</v>
      </c>
      <c r="D11" s="6"/>
      <c r="E11" s="4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</row>
    <row r="12" spans="1:17" ht="18" customHeight="1" x14ac:dyDescent="0.25">
      <c r="A12" s="2">
        <v>7</v>
      </c>
      <c r="B12" s="4" t="s">
        <v>54</v>
      </c>
      <c r="C12" s="7" t="s">
        <v>47</v>
      </c>
      <c r="D12" s="6"/>
      <c r="E12" s="4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</row>
    <row r="13" spans="1:17" ht="18" customHeight="1" x14ac:dyDescent="0.25">
      <c r="A13" s="2">
        <v>8</v>
      </c>
      <c r="B13" s="4" t="s">
        <v>55</v>
      </c>
      <c r="C13" s="7" t="s">
        <v>47</v>
      </c>
      <c r="D13" s="6"/>
      <c r="E13" s="4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</row>
    <row r="14" spans="1:17" ht="18" customHeight="1" x14ac:dyDescent="0.25">
      <c r="A14" s="2">
        <v>9</v>
      </c>
      <c r="B14" s="4" t="s">
        <v>56</v>
      </c>
      <c r="C14" s="7" t="s">
        <v>47</v>
      </c>
      <c r="D14" s="6"/>
      <c r="E14" s="4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</row>
    <row r="15" spans="1:17" ht="18" customHeight="1" x14ac:dyDescent="0.25">
      <c r="A15" s="2">
        <v>10</v>
      </c>
      <c r="B15" s="4" t="s">
        <v>57</v>
      </c>
      <c r="C15" s="7" t="s">
        <v>47</v>
      </c>
      <c r="D15" s="6"/>
      <c r="E15" s="4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</row>
    <row r="16" spans="1:17" ht="18" customHeight="1" x14ac:dyDescent="0.25">
      <c r="A16" s="2">
        <v>11</v>
      </c>
      <c r="B16" s="4" t="s">
        <v>58</v>
      </c>
      <c r="C16" s="7" t="s">
        <v>47</v>
      </c>
      <c r="D16" s="6"/>
      <c r="E16" s="4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</row>
    <row r="17" spans="1:17" ht="18" customHeight="1" x14ac:dyDescent="0.25">
      <c r="A17" s="2">
        <v>12</v>
      </c>
      <c r="B17" s="4" t="s">
        <v>59</v>
      </c>
      <c r="C17" s="7" t="s">
        <v>47</v>
      </c>
      <c r="D17" s="6"/>
      <c r="E17" s="4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</row>
    <row r="18" spans="1:17" ht="18" customHeight="1" x14ac:dyDescent="0.25">
      <c r="A18" s="2">
        <v>13</v>
      </c>
      <c r="B18" s="4" t="s">
        <v>60</v>
      </c>
      <c r="C18" s="7" t="s">
        <v>47</v>
      </c>
      <c r="D18" s="6"/>
      <c r="E18" s="4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</row>
    <row r="19" spans="1:17" ht="18" customHeight="1" x14ac:dyDescent="0.25">
      <c r="A19" s="2">
        <v>14</v>
      </c>
      <c r="B19" s="4" t="s">
        <v>61</v>
      </c>
      <c r="C19" s="7" t="s">
        <v>47</v>
      </c>
      <c r="D19" s="6"/>
      <c r="E19" s="4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</row>
    <row r="20" spans="1:17" ht="18" customHeight="1" x14ac:dyDescent="0.25">
      <c r="A20" s="2">
        <v>15</v>
      </c>
      <c r="B20" s="4" t="s">
        <v>62</v>
      </c>
      <c r="C20" s="7" t="s">
        <v>47</v>
      </c>
      <c r="D20" s="6"/>
      <c r="E20" s="4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</row>
    <row r="21" spans="1:17" ht="18" customHeight="1" x14ac:dyDescent="0.25">
      <c r="A21" s="2">
        <v>16</v>
      </c>
      <c r="B21" s="4" t="s">
        <v>63</v>
      </c>
      <c r="C21" s="7" t="s">
        <v>64</v>
      </c>
      <c r="D21" s="6"/>
      <c r="E21" s="4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</row>
    <row r="22" spans="1:17" ht="18" customHeight="1" x14ac:dyDescent="0.25">
      <c r="A22" s="2">
        <v>17</v>
      </c>
      <c r="B22" s="4" t="s">
        <v>65</v>
      </c>
      <c r="C22" s="7" t="s">
        <v>64</v>
      </c>
      <c r="D22" s="6"/>
      <c r="E22" s="4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</row>
    <row r="23" spans="1:17" ht="18" customHeight="1" x14ac:dyDescent="0.25">
      <c r="A23" s="2">
        <v>18</v>
      </c>
      <c r="B23" s="4" t="s">
        <v>66</v>
      </c>
      <c r="C23" s="7" t="s">
        <v>64</v>
      </c>
      <c r="D23" s="6"/>
      <c r="E23" s="4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</row>
    <row r="24" spans="1:17" ht="18" customHeight="1" x14ac:dyDescent="0.25">
      <c r="A24" s="2">
        <v>19</v>
      </c>
      <c r="B24" s="4" t="s">
        <v>67</v>
      </c>
      <c r="C24" s="7" t="s">
        <v>64</v>
      </c>
      <c r="D24" s="6"/>
      <c r="E24" s="4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</row>
    <row r="25" spans="1:17" ht="18" customHeight="1" x14ac:dyDescent="0.25">
      <c r="A25" s="2">
        <v>20</v>
      </c>
      <c r="B25" s="4" t="s">
        <v>68</v>
      </c>
      <c r="C25" s="7" t="s">
        <v>64</v>
      </c>
      <c r="D25" s="6"/>
      <c r="E25" s="4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</row>
    <row r="26" spans="1:17" ht="18" customHeight="1" x14ac:dyDescent="0.25">
      <c r="A26" s="2">
        <v>21</v>
      </c>
      <c r="B26" s="4" t="s">
        <v>69</v>
      </c>
      <c r="C26" s="7" t="s">
        <v>64</v>
      </c>
      <c r="D26" s="6"/>
      <c r="E26" s="4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</row>
    <row r="27" spans="1:17" ht="18" customHeight="1" x14ac:dyDescent="0.25">
      <c r="A27" s="2">
        <v>22</v>
      </c>
      <c r="B27" s="4" t="s">
        <v>70</v>
      </c>
      <c r="C27" s="7" t="s">
        <v>64</v>
      </c>
      <c r="D27" s="6"/>
      <c r="E27" s="4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</row>
    <row r="28" spans="1:17" ht="18" customHeight="1" x14ac:dyDescent="0.25">
      <c r="A28" s="2">
        <v>23</v>
      </c>
      <c r="B28" s="4" t="s">
        <v>71</v>
      </c>
      <c r="C28" s="7" t="s">
        <v>64</v>
      </c>
      <c r="D28" s="6"/>
      <c r="E28" s="4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</row>
    <row r="29" spans="1:17" ht="18" customHeight="1" x14ac:dyDescent="0.25">
      <c r="A29" s="2">
        <v>24</v>
      </c>
      <c r="B29" s="4" t="s">
        <v>72</v>
      </c>
      <c r="C29" s="7" t="s">
        <v>73</v>
      </c>
      <c r="D29" s="6"/>
      <c r="E29" s="4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</row>
    <row r="30" spans="1:17" ht="18" customHeight="1" x14ac:dyDescent="0.25">
      <c r="A30" s="2">
        <v>25</v>
      </c>
      <c r="B30" s="4" t="s">
        <v>74</v>
      </c>
      <c r="C30" s="7" t="s">
        <v>73</v>
      </c>
      <c r="D30" s="6"/>
      <c r="E30" s="4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</row>
    <row r="31" spans="1:17" ht="18" customHeight="1" x14ac:dyDescent="0.25">
      <c r="A31" s="2">
        <v>26</v>
      </c>
      <c r="B31" s="4" t="s">
        <v>75</v>
      </c>
      <c r="C31" s="7" t="s">
        <v>73</v>
      </c>
      <c r="D31" s="6"/>
      <c r="E31" s="4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</row>
    <row r="32" spans="1:17" ht="18" customHeight="1" x14ac:dyDescent="0.25">
      <c r="A32" s="2">
        <v>27</v>
      </c>
      <c r="B32" s="4" t="s">
        <v>76</v>
      </c>
      <c r="C32" s="7" t="s">
        <v>77</v>
      </c>
      <c r="D32" s="6"/>
      <c r="E32" s="4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</row>
    <row r="33" spans="1:17" ht="18" customHeight="1" x14ac:dyDescent="0.25">
      <c r="A33" s="2">
        <v>28</v>
      </c>
      <c r="B33" s="4" t="s">
        <v>78</v>
      </c>
      <c r="C33" s="7" t="s">
        <v>77</v>
      </c>
      <c r="D33" s="6"/>
      <c r="E33" s="4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</row>
    <row r="34" spans="1:17" ht="18" customHeight="1" x14ac:dyDescent="0.25">
      <c r="A34" s="2">
        <v>29</v>
      </c>
      <c r="B34" s="4" t="s">
        <v>79</v>
      </c>
      <c r="C34" s="7" t="s">
        <v>77</v>
      </c>
      <c r="D34" s="6"/>
      <c r="E34" s="4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</row>
    <row r="35" spans="1:17" ht="18" customHeight="1" x14ac:dyDescent="0.25">
      <c r="A35" s="2">
        <v>30</v>
      </c>
      <c r="B35" s="4" t="s">
        <v>80</v>
      </c>
      <c r="C35" s="7" t="s">
        <v>77</v>
      </c>
      <c r="D35" s="6"/>
      <c r="E35" s="4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</row>
    <row r="36" spans="1:17" ht="18" customHeight="1" x14ac:dyDescent="0.25">
      <c r="A36" s="2">
        <v>31</v>
      </c>
      <c r="B36" s="4" t="s">
        <v>81</v>
      </c>
      <c r="C36" s="7" t="s">
        <v>77</v>
      </c>
      <c r="D36" s="6"/>
      <c r="E36" s="4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</row>
    <row r="37" spans="1:17" ht="18" customHeight="1" x14ac:dyDescent="0.25">
      <c r="A37" s="2">
        <v>32</v>
      </c>
      <c r="B37" s="4" t="s">
        <v>82</v>
      </c>
      <c r="C37" s="7" t="s">
        <v>77</v>
      </c>
      <c r="D37" s="6"/>
      <c r="E37" s="4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</row>
    <row r="38" spans="1:17" ht="18" customHeight="1" x14ac:dyDescent="0.25">
      <c r="A38" s="2">
        <v>33</v>
      </c>
      <c r="B38" s="4" t="s">
        <v>83</v>
      </c>
      <c r="C38" s="7" t="s">
        <v>84</v>
      </c>
      <c r="D38" s="6"/>
      <c r="E38" s="4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</row>
    <row r="39" spans="1:17" ht="18" customHeight="1" x14ac:dyDescent="0.25">
      <c r="A39" s="2">
        <v>34</v>
      </c>
      <c r="B39" s="4" t="s">
        <v>85</v>
      </c>
      <c r="C39" s="7" t="s">
        <v>26</v>
      </c>
      <c r="D39" s="6"/>
      <c r="E39" s="4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</row>
    <row r="40" spans="1:17" ht="18" customHeight="1" x14ac:dyDescent="0.25">
      <c r="A40" s="2">
        <v>35</v>
      </c>
      <c r="B40" s="4" t="s">
        <v>86</v>
      </c>
      <c r="C40" s="7" t="s">
        <v>26</v>
      </c>
      <c r="D40" s="6"/>
      <c r="E40" s="4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</row>
    <row r="41" spans="1:17" ht="18" customHeight="1" x14ac:dyDescent="0.25">
      <c r="A41" s="2">
        <v>36</v>
      </c>
      <c r="B41" s="4" t="s">
        <v>87</v>
      </c>
      <c r="C41" s="7" t="s">
        <v>88</v>
      </c>
      <c r="D41" s="6"/>
      <c r="E41" s="4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</row>
    <row r="42" spans="1:17" ht="18" customHeight="1" x14ac:dyDescent="0.25">
      <c r="A42" s="2">
        <v>37</v>
      </c>
      <c r="B42" s="4" t="s">
        <v>89</v>
      </c>
      <c r="C42" s="7" t="s">
        <v>88</v>
      </c>
      <c r="D42" s="6"/>
      <c r="E42" s="4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</row>
    <row r="43" spans="1:17" ht="18" customHeight="1" x14ac:dyDescent="0.25">
      <c r="A43" s="2">
        <v>38</v>
      </c>
      <c r="B43" s="4" t="s">
        <v>90</v>
      </c>
      <c r="C43" s="7" t="s">
        <v>88</v>
      </c>
      <c r="D43" s="6"/>
      <c r="E43" s="4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</row>
    <row r="44" spans="1:17" ht="18" customHeight="1" x14ac:dyDescent="0.25">
      <c r="A44" s="2">
        <v>39</v>
      </c>
      <c r="B44" s="4" t="s">
        <v>91</v>
      </c>
      <c r="C44" s="7" t="s">
        <v>88</v>
      </c>
      <c r="D44" s="6"/>
      <c r="E44" s="4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</row>
    <row r="45" spans="1:17" ht="18" customHeight="1" x14ac:dyDescent="0.25">
      <c r="A45" s="2">
        <v>40</v>
      </c>
      <c r="B45" s="4" t="s">
        <v>92</v>
      </c>
      <c r="C45" s="7" t="s">
        <v>88</v>
      </c>
      <c r="D45" s="6"/>
      <c r="E45" s="4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</row>
    <row r="46" spans="1:17" ht="18" customHeight="1" x14ac:dyDescent="0.25">
      <c r="A46" s="2">
        <v>41</v>
      </c>
      <c r="B46" s="4" t="s">
        <v>93</v>
      </c>
      <c r="C46" s="7" t="s">
        <v>88</v>
      </c>
      <c r="D46" s="6"/>
      <c r="E46" s="4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</row>
    <row r="47" spans="1:17" ht="18" customHeight="1" x14ac:dyDescent="0.25">
      <c r="A47" s="2">
        <v>42</v>
      </c>
      <c r="B47" s="4" t="s">
        <v>94</v>
      </c>
      <c r="C47" s="7" t="s">
        <v>88</v>
      </c>
      <c r="D47" s="6"/>
      <c r="E47" s="4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</row>
    <row r="48" spans="1:17" ht="18" customHeight="1" x14ac:dyDescent="0.25">
      <c r="A48" s="2">
        <v>43</v>
      </c>
      <c r="B48" s="4" t="s">
        <v>95</v>
      </c>
      <c r="C48" s="7" t="s">
        <v>88</v>
      </c>
      <c r="D48" s="6"/>
      <c r="E48" s="4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</row>
    <row r="49" spans="1:17" ht="18" customHeight="1" x14ac:dyDescent="0.25">
      <c r="A49" s="2">
        <v>44</v>
      </c>
      <c r="B49" s="4" t="s">
        <v>96</v>
      </c>
      <c r="C49" s="7" t="s">
        <v>88</v>
      </c>
      <c r="D49" s="6"/>
      <c r="E49" s="4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</row>
    <row r="50" spans="1:17" ht="18" customHeight="1" x14ac:dyDescent="0.25">
      <c r="A50" s="2">
        <v>45</v>
      </c>
      <c r="B50" s="4" t="s">
        <v>97</v>
      </c>
      <c r="C50" s="7" t="s">
        <v>88</v>
      </c>
      <c r="D50" s="6"/>
      <c r="E50" s="4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</row>
    <row r="51" spans="1:17" ht="18" customHeight="1" x14ac:dyDescent="0.25">
      <c r="A51" s="2">
        <v>46</v>
      </c>
      <c r="B51" s="4" t="s">
        <v>98</v>
      </c>
      <c r="C51" s="7" t="s">
        <v>99</v>
      </c>
      <c r="D51" s="6"/>
      <c r="E51" s="4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</row>
    <row r="52" spans="1:17" ht="18" customHeight="1" x14ac:dyDescent="0.25">
      <c r="A52" s="2">
        <v>47</v>
      </c>
      <c r="B52" s="4" t="s">
        <v>100</v>
      </c>
      <c r="C52" s="7" t="s">
        <v>99</v>
      </c>
      <c r="D52" s="6"/>
      <c r="E52" s="4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</row>
    <row r="53" spans="1:17" ht="18" customHeight="1" x14ac:dyDescent="0.25">
      <c r="A53" s="2">
        <v>48</v>
      </c>
      <c r="B53" s="4" t="s">
        <v>101</v>
      </c>
      <c r="C53" s="7" t="s">
        <v>99</v>
      </c>
      <c r="D53" s="6"/>
      <c r="E53" s="4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</row>
    <row r="54" spans="1:17" ht="18" customHeight="1" x14ac:dyDescent="0.25">
      <c r="A54" s="2">
        <v>49</v>
      </c>
      <c r="B54" s="4" t="s">
        <v>102</v>
      </c>
      <c r="C54" s="7" t="s">
        <v>99</v>
      </c>
      <c r="D54" s="6"/>
      <c r="E54" s="4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</row>
    <row r="55" spans="1:17" ht="18" customHeight="1" x14ac:dyDescent="0.25">
      <c r="A55" s="2">
        <v>50</v>
      </c>
      <c r="B55" s="4" t="s">
        <v>103</v>
      </c>
      <c r="C55" s="7" t="s">
        <v>99</v>
      </c>
      <c r="D55" s="6"/>
      <c r="E55" s="4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</row>
  </sheetData>
  <mergeCells count="2">
    <mergeCell ref="A1:Q1"/>
    <mergeCell ref="A3:Q3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56"/>
  <sheetViews>
    <sheetView showGridLines="0" zoomScaleNormal="100" workbookViewId="0">
      <pane xSplit="3" ySplit="5" topLeftCell="D6" activePane="bottomRight" state="frozen"/>
      <selection pane="topRight" activeCell="D1" sqref="D1"/>
      <selection pane="bottomLeft" activeCell="A6" sqref="A6"/>
      <selection pane="bottomRight" sqref="A1:Q1"/>
    </sheetView>
  </sheetViews>
  <sheetFormatPr defaultColWidth="8.5703125" defaultRowHeight="15" x14ac:dyDescent="0.25"/>
  <cols>
    <col min="1" max="1" width="5" customWidth="1"/>
    <col min="2" max="2" width="30" customWidth="1"/>
    <col min="3" max="3" width="12" customWidth="1"/>
    <col min="4" max="15" width="7" customWidth="1"/>
    <col min="16" max="16" width="9" customWidth="1"/>
    <col min="17" max="17" width="15" customWidth="1"/>
  </cols>
  <sheetData>
    <row r="1" spans="1:17" ht="25.5" customHeight="1" x14ac:dyDescent="0.25">
      <c r="A1" s="29" t="s">
        <v>104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</row>
    <row r="3" spans="1:17" ht="31.5" customHeight="1" x14ac:dyDescent="0.25">
      <c r="A3" s="32" t="s">
        <v>105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</row>
    <row r="5" spans="1:17" ht="38.25" x14ac:dyDescent="0.25">
      <c r="A5" s="1" t="s">
        <v>30</v>
      </c>
      <c r="B5" s="1" t="s">
        <v>31</v>
      </c>
      <c r="C5" s="1" t="s">
        <v>32</v>
      </c>
      <c r="D5" s="1" t="s">
        <v>34</v>
      </c>
      <c r="E5" s="1" t="s">
        <v>35</v>
      </c>
      <c r="F5" s="1" t="s">
        <v>36</v>
      </c>
      <c r="G5" s="1" t="s">
        <v>37</v>
      </c>
      <c r="H5" s="1" t="s">
        <v>38</v>
      </c>
      <c r="I5" s="1" t="s">
        <v>39</v>
      </c>
      <c r="J5" s="1" t="s">
        <v>40</v>
      </c>
      <c r="K5" s="1" t="s">
        <v>41</v>
      </c>
      <c r="L5" s="1" t="s">
        <v>42</v>
      </c>
      <c r="M5" s="1" t="s">
        <v>43</v>
      </c>
      <c r="N5" s="1" t="s">
        <v>44</v>
      </c>
      <c r="O5" s="1" t="s">
        <v>45</v>
      </c>
      <c r="P5" s="1" t="s">
        <v>106</v>
      </c>
      <c r="Q5" s="1" t="s">
        <v>107</v>
      </c>
    </row>
    <row r="6" spans="1:17" ht="18" customHeight="1" x14ac:dyDescent="0.25">
      <c r="A6" s="2">
        <v>1</v>
      </c>
      <c r="B6" s="4" t="s">
        <v>46</v>
      </c>
      <c r="C6" s="7" t="s">
        <v>47</v>
      </c>
      <c r="D6" s="6">
        <v>78</v>
      </c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8">
        <f t="shared" ref="P6:P37" si="0">IF(COUNT(D6:O6)=0,"",ROUND(AVERAGE(D6:O6),1))</f>
        <v>78</v>
      </c>
      <c r="Q6" s="2" t="str">
        <f t="shared" ref="Q6:Q37" si="1">IF(P6="","",IF(P6&gt;=90,"Outstanding",IF(P6&gt;=75,"On Track",IF(P6&gt;=60,"Improving","Needs Support"))))</f>
        <v>On Track</v>
      </c>
    </row>
    <row r="7" spans="1:17" ht="18" customHeight="1" x14ac:dyDescent="0.25">
      <c r="A7" s="2">
        <v>2</v>
      </c>
      <c r="B7" s="4" t="s">
        <v>49</v>
      </c>
      <c r="C7" s="7" t="s">
        <v>47</v>
      </c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8" t="str">
        <f t="shared" si="0"/>
        <v/>
      </c>
      <c r="Q7" s="2" t="str">
        <f t="shared" si="1"/>
        <v/>
      </c>
    </row>
    <row r="8" spans="1:17" ht="18" customHeight="1" x14ac:dyDescent="0.25">
      <c r="A8" s="2">
        <v>3</v>
      </c>
      <c r="B8" s="4" t="s">
        <v>50</v>
      </c>
      <c r="C8" s="7" t="s">
        <v>47</v>
      </c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8" t="str">
        <f t="shared" si="0"/>
        <v/>
      </c>
      <c r="Q8" s="2" t="str">
        <f t="shared" si="1"/>
        <v/>
      </c>
    </row>
    <row r="9" spans="1:17" ht="18" customHeight="1" x14ac:dyDescent="0.25">
      <c r="A9" s="2">
        <v>4</v>
      </c>
      <c r="B9" s="4" t="s">
        <v>51</v>
      </c>
      <c r="C9" s="7" t="s">
        <v>47</v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8" t="str">
        <f t="shared" si="0"/>
        <v/>
      </c>
      <c r="Q9" s="2" t="str">
        <f t="shared" si="1"/>
        <v/>
      </c>
    </row>
    <row r="10" spans="1:17" ht="18" customHeight="1" x14ac:dyDescent="0.25">
      <c r="A10" s="2">
        <v>5</v>
      </c>
      <c r="B10" s="4" t="s">
        <v>52</v>
      </c>
      <c r="C10" s="7" t="s">
        <v>47</v>
      </c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8" t="str">
        <f t="shared" si="0"/>
        <v/>
      </c>
      <c r="Q10" s="2" t="str">
        <f t="shared" si="1"/>
        <v/>
      </c>
    </row>
    <row r="11" spans="1:17" ht="18" customHeight="1" x14ac:dyDescent="0.25">
      <c r="A11" s="2">
        <v>6</v>
      </c>
      <c r="B11" s="4" t="s">
        <v>53</v>
      </c>
      <c r="C11" s="7" t="s">
        <v>47</v>
      </c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8" t="str">
        <f t="shared" si="0"/>
        <v/>
      </c>
      <c r="Q11" s="2" t="str">
        <f t="shared" si="1"/>
        <v/>
      </c>
    </row>
    <row r="12" spans="1:17" ht="18" customHeight="1" x14ac:dyDescent="0.25">
      <c r="A12" s="2">
        <v>7</v>
      </c>
      <c r="B12" s="4" t="s">
        <v>54</v>
      </c>
      <c r="C12" s="7" t="s">
        <v>47</v>
      </c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8" t="str">
        <f t="shared" si="0"/>
        <v/>
      </c>
      <c r="Q12" s="2" t="str">
        <f t="shared" si="1"/>
        <v/>
      </c>
    </row>
    <row r="13" spans="1:17" ht="18" customHeight="1" x14ac:dyDescent="0.25">
      <c r="A13" s="2">
        <v>8</v>
      </c>
      <c r="B13" s="4" t="s">
        <v>55</v>
      </c>
      <c r="C13" s="7" t="s">
        <v>47</v>
      </c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8" t="str">
        <f t="shared" si="0"/>
        <v/>
      </c>
      <c r="Q13" s="2" t="str">
        <f t="shared" si="1"/>
        <v/>
      </c>
    </row>
    <row r="14" spans="1:17" ht="18" customHeight="1" x14ac:dyDescent="0.25">
      <c r="A14" s="2">
        <v>9</v>
      </c>
      <c r="B14" s="4" t="s">
        <v>56</v>
      </c>
      <c r="C14" s="7" t="s">
        <v>47</v>
      </c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8" t="str">
        <f t="shared" si="0"/>
        <v/>
      </c>
      <c r="Q14" s="2" t="str">
        <f t="shared" si="1"/>
        <v/>
      </c>
    </row>
    <row r="15" spans="1:17" ht="18" customHeight="1" x14ac:dyDescent="0.25">
      <c r="A15" s="2">
        <v>10</v>
      </c>
      <c r="B15" s="4" t="s">
        <v>57</v>
      </c>
      <c r="C15" s="7" t="s">
        <v>47</v>
      </c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8" t="str">
        <f t="shared" si="0"/>
        <v/>
      </c>
      <c r="Q15" s="2" t="str">
        <f t="shared" si="1"/>
        <v/>
      </c>
    </row>
    <row r="16" spans="1:17" ht="18" customHeight="1" x14ac:dyDescent="0.25">
      <c r="A16" s="2">
        <v>11</v>
      </c>
      <c r="B16" s="4" t="s">
        <v>58</v>
      </c>
      <c r="C16" s="7" t="s">
        <v>47</v>
      </c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8" t="str">
        <f t="shared" si="0"/>
        <v/>
      </c>
      <c r="Q16" s="2" t="str">
        <f t="shared" si="1"/>
        <v/>
      </c>
    </row>
    <row r="17" spans="1:17" ht="18" customHeight="1" x14ac:dyDescent="0.25">
      <c r="A17" s="2">
        <v>12</v>
      </c>
      <c r="B17" s="4" t="s">
        <v>59</v>
      </c>
      <c r="C17" s="7" t="s">
        <v>47</v>
      </c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8" t="str">
        <f t="shared" si="0"/>
        <v/>
      </c>
      <c r="Q17" s="2" t="str">
        <f t="shared" si="1"/>
        <v/>
      </c>
    </row>
    <row r="18" spans="1:17" ht="18" customHeight="1" x14ac:dyDescent="0.25">
      <c r="A18" s="2">
        <v>13</v>
      </c>
      <c r="B18" s="4" t="s">
        <v>60</v>
      </c>
      <c r="C18" s="7" t="s">
        <v>47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8" t="str">
        <f t="shared" si="0"/>
        <v/>
      </c>
      <c r="Q18" s="2" t="str">
        <f t="shared" si="1"/>
        <v/>
      </c>
    </row>
    <row r="19" spans="1:17" ht="18" customHeight="1" x14ac:dyDescent="0.25">
      <c r="A19" s="2">
        <v>14</v>
      </c>
      <c r="B19" s="4" t="s">
        <v>61</v>
      </c>
      <c r="C19" s="7" t="s">
        <v>47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8" t="str">
        <f t="shared" si="0"/>
        <v/>
      </c>
      <c r="Q19" s="2" t="str">
        <f t="shared" si="1"/>
        <v/>
      </c>
    </row>
    <row r="20" spans="1:17" ht="18" customHeight="1" x14ac:dyDescent="0.25">
      <c r="A20" s="2">
        <v>15</v>
      </c>
      <c r="B20" s="4" t="s">
        <v>62</v>
      </c>
      <c r="C20" s="7" t="s">
        <v>47</v>
      </c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8" t="str">
        <f t="shared" si="0"/>
        <v/>
      </c>
      <c r="Q20" s="2" t="str">
        <f t="shared" si="1"/>
        <v/>
      </c>
    </row>
    <row r="21" spans="1:17" ht="18" customHeight="1" x14ac:dyDescent="0.25">
      <c r="A21" s="2">
        <v>16</v>
      </c>
      <c r="B21" s="4" t="s">
        <v>63</v>
      </c>
      <c r="C21" s="7" t="s">
        <v>64</v>
      </c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8" t="str">
        <f t="shared" si="0"/>
        <v/>
      </c>
      <c r="Q21" s="2" t="str">
        <f t="shared" si="1"/>
        <v/>
      </c>
    </row>
    <row r="22" spans="1:17" ht="18" customHeight="1" x14ac:dyDescent="0.25">
      <c r="A22" s="2">
        <v>17</v>
      </c>
      <c r="B22" s="4" t="s">
        <v>65</v>
      </c>
      <c r="C22" s="7" t="s">
        <v>64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8" t="str">
        <f t="shared" si="0"/>
        <v/>
      </c>
      <c r="Q22" s="2" t="str">
        <f t="shared" si="1"/>
        <v/>
      </c>
    </row>
    <row r="23" spans="1:17" ht="18" customHeight="1" x14ac:dyDescent="0.25">
      <c r="A23" s="2">
        <v>18</v>
      </c>
      <c r="B23" s="4" t="s">
        <v>66</v>
      </c>
      <c r="C23" s="7" t="s">
        <v>64</v>
      </c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8" t="str">
        <f t="shared" si="0"/>
        <v/>
      </c>
      <c r="Q23" s="2" t="str">
        <f t="shared" si="1"/>
        <v/>
      </c>
    </row>
    <row r="24" spans="1:17" ht="18" customHeight="1" x14ac:dyDescent="0.25">
      <c r="A24" s="2">
        <v>19</v>
      </c>
      <c r="B24" s="4" t="s">
        <v>67</v>
      </c>
      <c r="C24" s="7" t="s">
        <v>64</v>
      </c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8" t="str">
        <f t="shared" si="0"/>
        <v/>
      </c>
      <c r="Q24" s="2" t="str">
        <f t="shared" si="1"/>
        <v/>
      </c>
    </row>
    <row r="25" spans="1:17" ht="18" customHeight="1" x14ac:dyDescent="0.25">
      <c r="A25" s="2">
        <v>20</v>
      </c>
      <c r="B25" s="4" t="s">
        <v>68</v>
      </c>
      <c r="C25" s="7" t="s">
        <v>64</v>
      </c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8" t="str">
        <f t="shared" si="0"/>
        <v/>
      </c>
      <c r="Q25" s="2" t="str">
        <f t="shared" si="1"/>
        <v/>
      </c>
    </row>
    <row r="26" spans="1:17" ht="18" customHeight="1" x14ac:dyDescent="0.25">
      <c r="A26" s="2">
        <v>21</v>
      </c>
      <c r="B26" s="4" t="s">
        <v>69</v>
      </c>
      <c r="C26" s="7" t="s">
        <v>64</v>
      </c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8" t="str">
        <f t="shared" si="0"/>
        <v/>
      </c>
      <c r="Q26" s="2" t="str">
        <f t="shared" si="1"/>
        <v/>
      </c>
    </row>
    <row r="27" spans="1:17" ht="18" customHeight="1" x14ac:dyDescent="0.25">
      <c r="A27" s="2">
        <v>22</v>
      </c>
      <c r="B27" s="4" t="s">
        <v>70</v>
      </c>
      <c r="C27" s="7" t="s">
        <v>64</v>
      </c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8" t="str">
        <f t="shared" si="0"/>
        <v/>
      </c>
      <c r="Q27" s="2" t="str">
        <f t="shared" si="1"/>
        <v/>
      </c>
    </row>
    <row r="28" spans="1:17" ht="18" customHeight="1" x14ac:dyDescent="0.25">
      <c r="A28" s="2">
        <v>23</v>
      </c>
      <c r="B28" s="4" t="s">
        <v>71</v>
      </c>
      <c r="C28" s="7" t="s">
        <v>64</v>
      </c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8" t="str">
        <f t="shared" si="0"/>
        <v/>
      </c>
      <c r="Q28" s="2" t="str">
        <f t="shared" si="1"/>
        <v/>
      </c>
    </row>
    <row r="29" spans="1:17" ht="18" customHeight="1" x14ac:dyDescent="0.25">
      <c r="A29" s="2">
        <v>24</v>
      </c>
      <c r="B29" s="4" t="s">
        <v>72</v>
      </c>
      <c r="C29" s="7" t="s">
        <v>73</v>
      </c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8" t="str">
        <f t="shared" si="0"/>
        <v/>
      </c>
      <c r="Q29" s="2" t="str">
        <f t="shared" si="1"/>
        <v/>
      </c>
    </row>
    <row r="30" spans="1:17" ht="18" customHeight="1" x14ac:dyDescent="0.25">
      <c r="A30" s="2">
        <v>25</v>
      </c>
      <c r="B30" s="4" t="s">
        <v>74</v>
      </c>
      <c r="C30" s="7" t="s">
        <v>73</v>
      </c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8" t="str">
        <f t="shared" si="0"/>
        <v/>
      </c>
      <c r="Q30" s="2" t="str">
        <f t="shared" si="1"/>
        <v/>
      </c>
    </row>
    <row r="31" spans="1:17" ht="18" customHeight="1" x14ac:dyDescent="0.25">
      <c r="A31" s="2">
        <v>26</v>
      </c>
      <c r="B31" s="4" t="s">
        <v>75</v>
      </c>
      <c r="C31" s="7" t="s">
        <v>73</v>
      </c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8" t="str">
        <f t="shared" si="0"/>
        <v/>
      </c>
      <c r="Q31" s="2" t="str">
        <f t="shared" si="1"/>
        <v/>
      </c>
    </row>
    <row r="32" spans="1:17" ht="18" customHeight="1" x14ac:dyDescent="0.25">
      <c r="A32" s="2">
        <v>27</v>
      </c>
      <c r="B32" s="4" t="s">
        <v>76</v>
      </c>
      <c r="C32" s="7" t="s">
        <v>77</v>
      </c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8" t="str">
        <f t="shared" si="0"/>
        <v/>
      </c>
      <c r="Q32" s="2" t="str">
        <f t="shared" si="1"/>
        <v/>
      </c>
    </row>
    <row r="33" spans="1:17" ht="18" customHeight="1" x14ac:dyDescent="0.25">
      <c r="A33" s="2">
        <v>28</v>
      </c>
      <c r="B33" s="4" t="s">
        <v>78</v>
      </c>
      <c r="C33" s="7" t="s">
        <v>77</v>
      </c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8" t="str">
        <f t="shared" si="0"/>
        <v/>
      </c>
      <c r="Q33" s="2" t="str">
        <f t="shared" si="1"/>
        <v/>
      </c>
    </row>
    <row r="34" spans="1:17" ht="18" customHeight="1" x14ac:dyDescent="0.25">
      <c r="A34" s="2">
        <v>29</v>
      </c>
      <c r="B34" s="4" t="s">
        <v>79</v>
      </c>
      <c r="C34" s="7" t="s">
        <v>77</v>
      </c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8" t="str">
        <f t="shared" si="0"/>
        <v/>
      </c>
      <c r="Q34" s="2" t="str">
        <f t="shared" si="1"/>
        <v/>
      </c>
    </row>
    <row r="35" spans="1:17" ht="18" customHeight="1" x14ac:dyDescent="0.25">
      <c r="A35" s="2">
        <v>30</v>
      </c>
      <c r="B35" s="4" t="s">
        <v>80</v>
      </c>
      <c r="C35" s="7" t="s">
        <v>77</v>
      </c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8" t="str">
        <f t="shared" si="0"/>
        <v/>
      </c>
      <c r="Q35" s="2" t="str">
        <f t="shared" si="1"/>
        <v/>
      </c>
    </row>
    <row r="36" spans="1:17" ht="18" customHeight="1" x14ac:dyDescent="0.25">
      <c r="A36" s="2">
        <v>31</v>
      </c>
      <c r="B36" s="4" t="s">
        <v>81</v>
      </c>
      <c r="C36" s="7" t="s">
        <v>77</v>
      </c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8" t="str">
        <f t="shared" si="0"/>
        <v/>
      </c>
      <c r="Q36" s="2" t="str">
        <f t="shared" si="1"/>
        <v/>
      </c>
    </row>
    <row r="37" spans="1:17" ht="18" customHeight="1" x14ac:dyDescent="0.25">
      <c r="A37" s="2">
        <v>32</v>
      </c>
      <c r="B37" s="4" t="s">
        <v>82</v>
      </c>
      <c r="C37" s="7" t="s">
        <v>77</v>
      </c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8" t="str">
        <f t="shared" si="0"/>
        <v/>
      </c>
      <c r="Q37" s="2" t="str">
        <f t="shared" si="1"/>
        <v/>
      </c>
    </row>
    <row r="38" spans="1:17" ht="18" customHeight="1" x14ac:dyDescent="0.25">
      <c r="A38" s="2">
        <v>33</v>
      </c>
      <c r="B38" s="4" t="s">
        <v>83</v>
      </c>
      <c r="C38" s="7" t="s">
        <v>84</v>
      </c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8" t="str">
        <f t="shared" ref="P38:P55" si="2">IF(COUNT(D38:O38)=0,"",ROUND(AVERAGE(D38:O38),1))</f>
        <v/>
      </c>
      <c r="Q38" s="2" t="str">
        <f t="shared" ref="Q38:Q55" si="3">IF(P38="","",IF(P38&gt;=90,"Outstanding",IF(P38&gt;=75,"On Track",IF(P38&gt;=60,"Improving","Needs Support"))))</f>
        <v/>
      </c>
    </row>
    <row r="39" spans="1:17" ht="18" customHeight="1" x14ac:dyDescent="0.25">
      <c r="A39" s="2">
        <v>34</v>
      </c>
      <c r="B39" s="4" t="s">
        <v>85</v>
      </c>
      <c r="C39" s="7" t="s">
        <v>26</v>
      </c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8" t="str">
        <f t="shared" si="2"/>
        <v/>
      </c>
      <c r="Q39" s="2" t="str">
        <f t="shared" si="3"/>
        <v/>
      </c>
    </row>
    <row r="40" spans="1:17" ht="18" customHeight="1" x14ac:dyDescent="0.25">
      <c r="A40" s="2">
        <v>35</v>
      </c>
      <c r="B40" s="4" t="s">
        <v>86</v>
      </c>
      <c r="C40" s="7" t="s">
        <v>26</v>
      </c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8" t="str">
        <f t="shared" si="2"/>
        <v/>
      </c>
      <c r="Q40" s="2" t="str">
        <f t="shared" si="3"/>
        <v/>
      </c>
    </row>
    <row r="41" spans="1:17" ht="18" customHeight="1" x14ac:dyDescent="0.25">
      <c r="A41" s="2">
        <v>36</v>
      </c>
      <c r="B41" s="4" t="s">
        <v>87</v>
      </c>
      <c r="C41" s="7" t="s">
        <v>88</v>
      </c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8" t="str">
        <f t="shared" si="2"/>
        <v/>
      </c>
      <c r="Q41" s="2" t="str">
        <f t="shared" si="3"/>
        <v/>
      </c>
    </row>
    <row r="42" spans="1:17" ht="18" customHeight="1" x14ac:dyDescent="0.25">
      <c r="A42" s="2">
        <v>37</v>
      </c>
      <c r="B42" s="4" t="s">
        <v>89</v>
      </c>
      <c r="C42" s="7" t="s">
        <v>88</v>
      </c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8" t="str">
        <f t="shared" si="2"/>
        <v/>
      </c>
      <c r="Q42" s="2" t="str">
        <f t="shared" si="3"/>
        <v/>
      </c>
    </row>
    <row r="43" spans="1:17" ht="18" customHeight="1" x14ac:dyDescent="0.25">
      <c r="A43" s="2">
        <v>38</v>
      </c>
      <c r="B43" s="4" t="s">
        <v>90</v>
      </c>
      <c r="C43" s="7" t="s">
        <v>88</v>
      </c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8" t="str">
        <f t="shared" si="2"/>
        <v/>
      </c>
      <c r="Q43" s="2" t="str">
        <f t="shared" si="3"/>
        <v/>
      </c>
    </row>
    <row r="44" spans="1:17" ht="18" customHeight="1" x14ac:dyDescent="0.25">
      <c r="A44" s="2">
        <v>39</v>
      </c>
      <c r="B44" s="4" t="s">
        <v>91</v>
      </c>
      <c r="C44" s="7" t="s">
        <v>88</v>
      </c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8" t="str">
        <f t="shared" si="2"/>
        <v/>
      </c>
      <c r="Q44" s="2" t="str">
        <f t="shared" si="3"/>
        <v/>
      </c>
    </row>
    <row r="45" spans="1:17" ht="18" customHeight="1" x14ac:dyDescent="0.25">
      <c r="A45" s="2">
        <v>40</v>
      </c>
      <c r="B45" s="4" t="s">
        <v>92</v>
      </c>
      <c r="C45" s="7" t="s">
        <v>88</v>
      </c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8" t="str">
        <f t="shared" si="2"/>
        <v/>
      </c>
      <c r="Q45" s="2" t="str">
        <f t="shared" si="3"/>
        <v/>
      </c>
    </row>
    <row r="46" spans="1:17" ht="18" customHeight="1" x14ac:dyDescent="0.25">
      <c r="A46" s="2">
        <v>41</v>
      </c>
      <c r="B46" s="4" t="s">
        <v>93</v>
      </c>
      <c r="C46" s="7" t="s">
        <v>88</v>
      </c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8" t="str">
        <f t="shared" si="2"/>
        <v/>
      </c>
      <c r="Q46" s="2" t="str">
        <f t="shared" si="3"/>
        <v/>
      </c>
    </row>
    <row r="47" spans="1:17" ht="18" customHeight="1" x14ac:dyDescent="0.25">
      <c r="A47" s="2">
        <v>42</v>
      </c>
      <c r="B47" s="4" t="s">
        <v>94</v>
      </c>
      <c r="C47" s="7" t="s">
        <v>88</v>
      </c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8" t="str">
        <f t="shared" si="2"/>
        <v/>
      </c>
      <c r="Q47" s="2" t="str">
        <f t="shared" si="3"/>
        <v/>
      </c>
    </row>
    <row r="48" spans="1:17" ht="18" customHeight="1" x14ac:dyDescent="0.25">
      <c r="A48" s="2">
        <v>43</v>
      </c>
      <c r="B48" s="4" t="s">
        <v>95</v>
      </c>
      <c r="C48" s="7" t="s">
        <v>88</v>
      </c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8" t="str">
        <f t="shared" si="2"/>
        <v/>
      </c>
      <c r="Q48" s="2" t="str">
        <f t="shared" si="3"/>
        <v/>
      </c>
    </row>
    <row r="49" spans="1:17" ht="18" customHeight="1" x14ac:dyDescent="0.25">
      <c r="A49" s="2">
        <v>44</v>
      </c>
      <c r="B49" s="4" t="s">
        <v>96</v>
      </c>
      <c r="C49" s="7" t="s">
        <v>88</v>
      </c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8" t="str">
        <f t="shared" si="2"/>
        <v/>
      </c>
      <c r="Q49" s="2" t="str">
        <f t="shared" si="3"/>
        <v/>
      </c>
    </row>
    <row r="50" spans="1:17" ht="18" customHeight="1" x14ac:dyDescent="0.25">
      <c r="A50" s="2">
        <v>45</v>
      </c>
      <c r="B50" s="4" t="s">
        <v>97</v>
      </c>
      <c r="C50" s="7" t="s">
        <v>88</v>
      </c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8" t="str">
        <f t="shared" si="2"/>
        <v/>
      </c>
      <c r="Q50" s="2" t="str">
        <f t="shared" si="3"/>
        <v/>
      </c>
    </row>
    <row r="51" spans="1:17" ht="18" customHeight="1" x14ac:dyDescent="0.25">
      <c r="A51" s="2">
        <v>46</v>
      </c>
      <c r="B51" s="4" t="s">
        <v>98</v>
      </c>
      <c r="C51" s="7" t="s">
        <v>99</v>
      </c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8" t="str">
        <f t="shared" si="2"/>
        <v/>
      </c>
      <c r="Q51" s="2" t="str">
        <f t="shared" si="3"/>
        <v/>
      </c>
    </row>
    <row r="52" spans="1:17" ht="18" customHeight="1" x14ac:dyDescent="0.25">
      <c r="A52" s="2">
        <v>47</v>
      </c>
      <c r="B52" s="4" t="s">
        <v>100</v>
      </c>
      <c r="C52" s="7" t="s">
        <v>99</v>
      </c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8" t="str">
        <f t="shared" si="2"/>
        <v/>
      </c>
      <c r="Q52" s="2" t="str">
        <f t="shared" si="3"/>
        <v/>
      </c>
    </row>
    <row r="53" spans="1:17" ht="18" customHeight="1" x14ac:dyDescent="0.25">
      <c r="A53" s="2">
        <v>48</v>
      </c>
      <c r="B53" s="4" t="s">
        <v>101</v>
      </c>
      <c r="C53" s="7" t="s">
        <v>99</v>
      </c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8" t="str">
        <f t="shared" si="2"/>
        <v/>
      </c>
      <c r="Q53" s="2" t="str">
        <f t="shared" si="3"/>
        <v/>
      </c>
    </row>
    <row r="54" spans="1:17" ht="18" customHeight="1" x14ac:dyDescent="0.25">
      <c r="A54" s="2">
        <v>49</v>
      </c>
      <c r="B54" s="4" t="s">
        <v>102</v>
      </c>
      <c r="C54" s="7" t="s">
        <v>99</v>
      </c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8" t="str">
        <f t="shared" si="2"/>
        <v/>
      </c>
      <c r="Q54" s="2" t="str">
        <f t="shared" si="3"/>
        <v/>
      </c>
    </row>
    <row r="55" spans="1:17" ht="18" customHeight="1" x14ac:dyDescent="0.25">
      <c r="A55" s="2">
        <v>50</v>
      </c>
      <c r="B55" s="4" t="s">
        <v>103</v>
      </c>
      <c r="C55" s="7" t="s">
        <v>99</v>
      </c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8" t="str">
        <f t="shared" si="2"/>
        <v/>
      </c>
      <c r="Q55" s="2" t="str">
        <f t="shared" si="3"/>
        <v/>
      </c>
    </row>
    <row r="56" spans="1:17" x14ac:dyDescent="0.25">
      <c r="A56" s="35" t="s">
        <v>108</v>
      </c>
      <c r="B56" s="35"/>
      <c r="C56" s="35"/>
      <c r="D56" s="9">
        <f t="shared" ref="D56:P56" si="4">IF(COUNT(D6:D55)=0,"",ROUND(AVERAGE(D6:D55),1))</f>
        <v>78</v>
      </c>
      <c r="E56" s="9" t="str">
        <f t="shared" si="4"/>
        <v/>
      </c>
      <c r="F56" s="9" t="str">
        <f t="shared" si="4"/>
        <v/>
      </c>
      <c r="G56" s="9" t="str">
        <f t="shared" si="4"/>
        <v/>
      </c>
      <c r="H56" s="9" t="str">
        <f t="shared" si="4"/>
        <v/>
      </c>
      <c r="I56" s="9" t="str">
        <f t="shared" si="4"/>
        <v/>
      </c>
      <c r="J56" s="9" t="str">
        <f t="shared" si="4"/>
        <v/>
      </c>
      <c r="K56" s="9" t="str">
        <f t="shared" si="4"/>
        <v/>
      </c>
      <c r="L56" s="9" t="str">
        <f t="shared" si="4"/>
        <v/>
      </c>
      <c r="M56" s="9" t="str">
        <f t="shared" si="4"/>
        <v/>
      </c>
      <c r="N56" s="9" t="str">
        <f t="shared" si="4"/>
        <v/>
      </c>
      <c r="O56" s="9" t="str">
        <f t="shared" si="4"/>
        <v/>
      </c>
      <c r="P56" s="9">
        <f t="shared" si="4"/>
        <v>78</v>
      </c>
      <c r="Q56" s="10"/>
    </row>
  </sheetData>
  <mergeCells count="3">
    <mergeCell ref="A1:Q1"/>
    <mergeCell ref="A3:Q3"/>
    <mergeCell ref="A56:C56"/>
  </mergeCells>
  <dataValidations count="1">
    <dataValidation type="decimal" allowBlank="1" showErrorMessage="1" errorTitle="Invalid score" error="Enter a score between 0 and 100" sqref="D6:O55" xr:uid="{00000000-0002-0000-0200-000000000000}">
      <formula1>0</formula1>
      <formula2>100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E74"/>
  <sheetViews>
    <sheetView showGridLines="0" topLeftCell="A15" zoomScaleNormal="100" workbookViewId="0">
      <selection activeCell="B27" sqref="B27"/>
    </sheetView>
  </sheetViews>
  <sheetFormatPr defaultColWidth="8.5703125" defaultRowHeight="15" x14ac:dyDescent="0.25"/>
  <cols>
    <col min="1" max="1" width="6" customWidth="1"/>
    <col min="2" max="2" width="68" customWidth="1"/>
    <col min="3" max="3" width="12" customWidth="1"/>
    <col min="4" max="4" width="9" customWidth="1"/>
    <col min="5" max="5" width="32" customWidth="1"/>
  </cols>
  <sheetData>
    <row r="1" spans="1:5" ht="25.5" customHeight="1" x14ac:dyDescent="0.25">
      <c r="A1" s="29" t="s">
        <v>119</v>
      </c>
      <c r="B1" s="29"/>
      <c r="C1" s="29"/>
      <c r="D1" s="29"/>
      <c r="E1" s="29"/>
    </row>
    <row r="2" spans="1:5" ht="15" customHeight="1" x14ac:dyDescent="0.25">
      <c r="A2" s="14" t="s">
        <v>120</v>
      </c>
      <c r="B2" s="13"/>
      <c r="C2" s="14" t="s">
        <v>121</v>
      </c>
      <c r="D2" s="13"/>
      <c r="E2" s="41" t="s">
        <v>122</v>
      </c>
    </row>
    <row r="3" spans="1:5" x14ac:dyDescent="0.25">
      <c r="A3" s="14" t="s">
        <v>123</v>
      </c>
      <c r="B3" s="13" t="s">
        <v>47</v>
      </c>
      <c r="C3" s="14" t="s">
        <v>124</v>
      </c>
      <c r="D3" s="13"/>
      <c r="E3" s="41"/>
    </row>
    <row r="4" spans="1:5" x14ac:dyDescent="0.25">
      <c r="A4" s="14" t="s">
        <v>125</v>
      </c>
      <c r="B4" s="13"/>
      <c r="C4" s="14" t="s">
        <v>126</v>
      </c>
      <c r="D4" s="13"/>
      <c r="E4" s="41"/>
    </row>
    <row r="6" spans="1:5" ht="19.5" customHeight="1" x14ac:dyDescent="0.25">
      <c r="A6" s="1" t="s">
        <v>2</v>
      </c>
      <c r="B6" s="1" t="s">
        <v>109</v>
      </c>
      <c r="C6" s="1" t="s">
        <v>110</v>
      </c>
      <c r="D6" s="1" t="s">
        <v>111</v>
      </c>
      <c r="E6" s="1" t="s">
        <v>112</v>
      </c>
    </row>
    <row r="7" spans="1:5" x14ac:dyDescent="0.25">
      <c r="A7" s="37" t="s">
        <v>127</v>
      </c>
      <c r="B7" s="37"/>
      <c r="C7" s="37"/>
      <c r="D7" s="37"/>
      <c r="E7" s="37"/>
    </row>
    <row r="8" spans="1:5" ht="27.75" customHeight="1" x14ac:dyDescent="0.25">
      <c r="A8" s="2">
        <v>1</v>
      </c>
      <c r="B8" s="3" t="s">
        <v>128</v>
      </c>
      <c r="C8" s="11"/>
      <c r="D8" s="2">
        <f t="shared" ref="D8:D17" si="0">IF(C8="Yes",2,0)</f>
        <v>0</v>
      </c>
      <c r="E8" s="12"/>
    </row>
    <row r="9" spans="1:5" ht="27.75" customHeight="1" x14ac:dyDescent="0.25">
      <c r="A9" s="2">
        <v>2</v>
      </c>
      <c r="B9" s="3" t="s">
        <v>129</v>
      </c>
      <c r="C9" s="11"/>
      <c r="D9" s="2">
        <f t="shared" si="0"/>
        <v>0</v>
      </c>
      <c r="E9" s="12"/>
    </row>
    <row r="10" spans="1:5" ht="27.75" customHeight="1" x14ac:dyDescent="0.25">
      <c r="A10" s="2">
        <v>3</v>
      </c>
      <c r="B10" s="3" t="s">
        <v>130</v>
      </c>
      <c r="C10" s="11"/>
      <c r="D10" s="2">
        <f t="shared" si="0"/>
        <v>0</v>
      </c>
      <c r="E10" s="12"/>
    </row>
    <row r="11" spans="1:5" ht="27.75" customHeight="1" x14ac:dyDescent="0.25">
      <c r="A11" s="2">
        <v>4</v>
      </c>
      <c r="B11" s="3" t="s">
        <v>131</v>
      </c>
      <c r="C11" s="11"/>
      <c r="D11" s="2">
        <f t="shared" si="0"/>
        <v>0</v>
      </c>
      <c r="E11" s="12"/>
    </row>
    <row r="12" spans="1:5" ht="27.75" customHeight="1" x14ac:dyDescent="0.25">
      <c r="A12" s="2">
        <v>5</v>
      </c>
      <c r="B12" s="3" t="s">
        <v>132</v>
      </c>
      <c r="C12" s="11"/>
      <c r="D12" s="2">
        <f t="shared" si="0"/>
        <v>0</v>
      </c>
      <c r="E12" s="12"/>
    </row>
    <row r="13" spans="1:5" ht="27.75" customHeight="1" x14ac:dyDescent="0.25">
      <c r="A13" s="2">
        <v>6</v>
      </c>
      <c r="B13" s="3" t="s">
        <v>133</v>
      </c>
      <c r="C13" s="11"/>
      <c r="D13" s="2">
        <f t="shared" si="0"/>
        <v>0</v>
      </c>
      <c r="E13" s="12"/>
    </row>
    <row r="14" spans="1:5" ht="27.75" customHeight="1" x14ac:dyDescent="0.25">
      <c r="A14" s="2">
        <v>7</v>
      </c>
      <c r="B14" s="3" t="s">
        <v>113</v>
      </c>
      <c r="C14" s="11"/>
      <c r="D14" s="2">
        <f t="shared" si="0"/>
        <v>0</v>
      </c>
      <c r="E14" s="12"/>
    </row>
    <row r="15" spans="1:5" ht="27.75" customHeight="1" x14ac:dyDescent="0.25">
      <c r="A15" s="2">
        <v>8</v>
      </c>
      <c r="B15" s="3" t="s">
        <v>134</v>
      </c>
      <c r="C15" s="11"/>
      <c r="D15" s="2">
        <f t="shared" si="0"/>
        <v>0</v>
      </c>
      <c r="E15" s="12"/>
    </row>
    <row r="16" spans="1:5" ht="27.75" customHeight="1" x14ac:dyDescent="0.25">
      <c r="A16" s="2">
        <v>9</v>
      </c>
      <c r="B16" s="3" t="s">
        <v>135</v>
      </c>
      <c r="C16" s="11"/>
      <c r="D16" s="2">
        <f t="shared" si="0"/>
        <v>0</v>
      </c>
      <c r="E16" s="12"/>
    </row>
    <row r="17" spans="1:5" ht="27.75" customHeight="1" x14ac:dyDescent="0.25">
      <c r="A17" s="2">
        <v>10</v>
      </c>
      <c r="B17" s="3" t="s">
        <v>136</v>
      </c>
      <c r="C17" s="11"/>
      <c r="D17" s="2">
        <f t="shared" si="0"/>
        <v>0</v>
      </c>
      <c r="E17" s="12"/>
    </row>
    <row r="18" spans="1:5" x14ac:dyDescent="0.25">
      <c r="A18" s="38" t="s">
        <v>137</v>
      </c>
      <c r="B18" s="38"/>
      <c r="C18" s="38"/>
      <c r="D18" s="15">
        <f>SUM(D8:D17)</f>
        <v>0</v>
      </c>
      <c r="E18" s="16"/>
    </row>
    <row r="19" spans="1:5" x14ac:dyDescent="0.25">
      <c r="A19" s="37" t="s">
        <v>138</v>
      </c>
      <c r="B19" s="37"/>
      <c r="C19" s="37"/>
      <c r="D19" s="37"/>
      <c r="E19" s="37"/>
    </row>
    <row r="20" spans="1:5" ht="27.75" customHeight="1" x14ac:dyDescent="0.25">
      <c r="A20" s="2">
        <v>11</v>
      </c>
      <c r="B20" s="3" t="s">
        <v>139</v>
      </c>
      <c r="C20" s="11"/>
      <c r="D20" s="2">
        <f t="shared" ref="D20:D29" si="1">IF(C20="Yes",2,0)</f>
        <v>0</v>
      </c>
      <c r="E20" s="12"/>
    </row>
    <row r="21" spans="1:5" ht="27.75" customHeight="1" x14ac:dyDescent="0.25">
      <c r="A21" s="2">
        <v>12</v>
      </c>
      <c r="B21" s="3" t="s">
        <v>140</v>
      </c>
      <c r="C21" s="11"/>
      <c r="D21" s="2">
        <f t="shared" si="1"/>
        <v>0</v>
      </c>
      <c r="E21" s="12"/>
    </row>
    <row r="22" spans="1:5" ht="27.75" customHeight="1" x14ac:dyDescent="0.25">
      <c r="A22" s="2">
        <v>13</v>
      </c>
      <c r="B22" s="3" t="s">
        <v>141</v>
      </c>
      <c r="C22" s="11"/>
      <c r="D22" s="2">
        <f t="shared" si="1"/>
        <v>0</v>
      </c>
      <c r="E22" s="12"/>
    </row>
    <row r="23" spans="1:5" ht="27.75" customHeight="1" x14ac:dyDescent="0.25">
      <c r="A23" s="2">
        <v>14</v>
      </c>
      <c r="B23" s="3" t="s">
        <v>142</v>
      </c>
      <c r="C23" s="11"/>
      <c r="D23" s="2">
        <f t="shared" si="1"/>
        <v>0</v>
      </c>
      <c r="E23" s="12"/>
    </row>
    <row r="24" spans="1:5" ht="27.75" customHeight="1" x14ac:dyDescent="0.25">
      <c r="A24" s="2">
        <v>15</v>
      </c>
      <c r="B24" s="3" t="s">
        <v>143</v>
      </c>
      <c r="C24" s="11"/>
      <c r="D24" s="2">
        <f t="shared" si="1"/>
        <v>0</v>
      </c>
      <c r="E24" s="12"/>
    </row>
    <row r="25" spans="1:5" ht="27.75" customHeight="1" x14ac:dyDescent="0.25">
      <c r="A25" s="2">
        <v>16</v>
      </c>
      <c r="B25" s="3" t="s">
        <v>144</v>
      </c>
      <c r="C25" s="11"/>
      <c r="D25" s="2">
        <f t="shared" si="1"/>
        <v>0</v>
      </c>
      <c r="E25" s="12"/>
    </row>
    <row r="26" spans="1:5" ht="27.75" customHeight="1" x14ac:dyDescent="0.25">
      <c r="A26" s="2">
        <v>17</v>
      </c>
      <c r="B26" s="3" t="s">
        <v>145</v>
      </c>
      <c r="C26" s="11"/>
      <c r="D26" s="2">
        <f t="shared" si="1"/>
        <v>0</v>
      </c>
      <c r="E26" s="12"/>
    </row>
    <row r="27" spans="1:5" ht="27.75" customHeight="1" x14ac:dyDescent="0.25">
      <c r="A27" s="2">
        <v>18</v>
      </c>
      <c r="B27" s="3" t="s">
        <v>146</v>
      </c>
      <c r="C27" s="11"/>
      <c r="D27" s="2">
        <f t="shared" si="1"/>
        <v>0</v>
      </c>
      <c r="E27" s="12"/>
    </row>
    <row r="28" spans="1:5" ht="27.75" customHeight="1" x14ac:dyDescent="0.25">
      <c r="A28" s="2">
        <v>19</v>
      </c>
      <c r="B28" s="3" t="s">
        <v>147</v>
      </c>
      <c r="C28" s="11"/>
      <c r="D28" s="2">
        <f t="shared" si="1"/>
        <v>0</v>
      </c>
      <c r="E28" s="12"/>
    </row>
    <row r="29" spans="1:5" ht="27.75" customHeight="1" x14ac:dyDescent="0.25">
      <c r="A29" s="2">
        <v>20</v>
      </c>
      <c r="B29" s="3" t="s">
        <v>148</v>
      </c>
      <c r="C29" s="11"/>
      <c r="D29" s="2">
        <f t="shared" si="1"/>
        <v>0</v>
      </c>
      <c r="E29" s="12"/>
    </row>
    <row r="30" spans="1:5" x14ac:dyDescent="0.25">
      <c r="A30" s="38" t="s">
        <v>149</v>
      </c>
      <c r="B30" s="38"/>
      <c r="C30" s="38"/>
      <c r="D30" s="15">
        <f>SUM(D20:D29)</f>
        <v>0</v>
      </c>
      <c r="E30" s="16"/>
    </row>
    <row r="31" spans="1:5" x14ac:dyDescent="0.25">
      <c r="A31" s="37" t="s">
        <v>150</v>
      </c>
      <c r="B31" s="37"/>
      <c r="C31" s="37"/>
      <c r="D31" s="37"/>
      <c r="E31" s="37"/>
    </row>
    <row r="32" spans="1:5" ht="27.75" customHeight="1" x14ac:dyDescent="0.25">
      <c r="A32" s="2">
        <v>21</v>
      </c>
      <c r="B32" s="3" t="s">
        <v>151</v>
      </c>
      <c r="C32" s="11"/>
      <c r="D32" s="2">
        <f t="shared" ref="D32:D41" si="2">IF(C32="Yes",2,0)</f>
        <v>0</v>
      </c>
      <c r="E32" s="12"/>
    </row>
    <row r="33" spans="1:5" ht="27.75" customHeight="1" x14ac:dyDescent="0.25">
      <c r="A33" s="2">
        <v>22</v>
      </c>
      <c r="B33" s="3" t="s">
        <v>152</v>
      </c>
      <c r="C33" s="11"/>
      <c r="D33" s="2">
        <f t="shared" si="2"/>
        <v>0</v>
      </c>
      <c r="E33" s="12"/>
    </row>
    <row r="34" spans="1:5" ht="27.75" customHeight="1" x14ac:dyDescent="0.25">
      <c r="A34" s="2">
        <v>23</v>
      </c>
      <c r="B34" s="3" t="s">
        <v>153</v>
      </c>
      <c r="C34" s="11"/>
      <c r="D34" s="2">
        <f t="shared" si="2"/>
        <v>0</v>
      </c>
      <c r="E34" s="12"/>
    </row>
    <row r="35" spans="1:5" ht="27.75" customHeight="1" x14ac:dyDescent="0.25">
      <c r="A35" s="2">
        <v>24</v>
      </c>
      <c r="B35" s="3" t="s">
        <v>154</v>
      </c>
      <c r="C35" s="11"/>
      <c r="D35" s="2">
        <f t="shared" si="2"/>
        <v>0</v>
      </c>
      <c r="E35" s="12"/>
    </row>
    <row r="36" spans="1:5" ht="27.75" customHeight="1" x14ac:dyDescent="0.25">
      <c r="A36" s="2">
        <v>25</v>
      </c>
      <c r="B36" s="3" t="s">
        <v>155</v>
      </c>
      <c r="C36" s="11"/>
      <c r="D36" s="2">
        <f t="shared" si="2"/>
        <v>0</v>
      </c>
      <c r="E36" s="12"/>
    </row>
    <row r="37" spans="1:5" ht="27.75" customHeight="1" x14ac:dyDescent="0.25">
      <c r="A37" s="2">
        <v>26</v>
      </c>
      <c r="B37" s="3" t="s">
        <v>156</v>
      </c>
      <c r="C37" s="11"/>
      <c r="D37" s="2">
        <f t="shared" si="2"/>
        <v>0</v>
      </c>
      <c r="E37" s="12"/>
    </row>
    <row r="38" spans="1:5" ht="27.75" customHeight="1" x14ac:dyDescent="0.25">
      <c r="A38" s="2">
        <v>27</v>
      </c>
      <c r="B38" s="3" t="s">
        <v>157</v>
      </c>
      <c r="C38" s="11"/>
      <c r="D38" s="2">
        <f t="shared" si="2"/>
        <v>0</v>
      </c>
      <c r="E38" s="12"/>
    </row>
    <row r="39" spans="1:5" ht="27.75" customHeight="1" x14ac:dyDescent="0.25">
      <c r="A39" s="2">
        <v>28</v>
      </c>
      <c r="B39" s="3" t="s">
        <v>158</v>
      </c>
      <c r="C39" s="11"/>
      <c r="D39" s="2">
        <f t="shared" si="2"/>
        <v>0</v>
      </c>
      <c r="E39" s="12"/>
    </row>
    <row r="40" spans="1:5" ht="27.75" customHeight="1" x14ac:dyDescent="0.25">
      <c r="A40" s="2">
        <v>29</v>
      </c>
      <c r="B40" s="3" t="s">
        <v>159</v>
      </c>
      <c r="C40" s="11"/>
      <c r="D40" s="2">
        <f t="shared" si="2"/>
        <v>0</v>
      </c>
      <c r="E40" s="12"/>
    </row>
    <row r="41" spans="1:5" ht="27.75" customHeight="1" x14ac:dyDescent="0.25">
      <c r="A41" s="2">
        <v>30</v>
      </c>
      <c r="B41" s="3" t="s">
        <v>160</v>
      </c>
      <c r="C41" s="11"/>
      <c r="D41" s="2">
        <f t="shared" si="2"/>
        <v>0</v>
      </c>
      <c r="E41" s="12"/>
    </row>
    <row r="42" spans="1:5" x14ac:dyDescent="0.25">
      <c r="A42" s="38" t="s">
        <v>161</v>
      </c>
      <c r="B42" s="38"/>
      <c r="C42" s="38"/>
      <c r="D42" s="15">
        <f>SUM(D32:D41)</f>
        <v>0</v>
      </c>
      <c r="E42" s="16"/>
    </row>
    <row r="43" spans="1:5" x14ac:dyDescent="0.25">
      <c r="A43" s="37" t="s">
        <v>162</v>
      </c>
      <c r="B43" s="37"/>
      <c r="C43" s="37"/>
      <c r="D43" s="37"/>
      <c r="E43" s="37"/>
    </row>
    <row r="44" spans="1:5" ht="27.75" customHeight="1" x14ac:dyDescent="0.25">
      <c r="A44" s="2">
        <v>31</v>
      </c>
      <c r="B44" s="3" t="s">
        <v>163</v>
      </c>
      <c r="C44" s="11"/>
      <c r="D44" s="2">
        <f t="shared" ref="D44:D53" si="3">IF(C44="Yes",2,0)</f>
        <v>0</v>
      </c>
      <c r="E44" s="12"/>
    </row>
    <row r="45" spans="1:5" ht="27.75" customHeight="1" x14ac:dyDescent="0.25">
      <c r="A45" s="2">
        <v>32</v>
      </c>
      <c r="B45" s="3" t="s">
        <v>164</v>
      </c>
      <c r="C45" s="11"/>
      <c r="D45" s="2">
        <f t="shared" si="3"/>
        <v>0</v>
      </c>
      <c r="E45" s="12"/>
    </row>
    <row r="46" spans="1:5" ht="27.75" customHeight="1" x14ac:dyDescent="0.25">
      <c r="A46" s="2">
        <v>33</v>
      </c>
      <c r="B46" s="3" t="s">
        <v>165</v>
      </c>
      <c r="C46" s="11"/>
      <c r="D46" s="2">
        <f t="shared" si="3"/>
        <v>0</v>
      </c>
      <c r="E46" s="12"/>
    </row>
    <row r="47" spans="1:5" ht="27.75" customHeight="1" x14ac:dyDescent="0.25">
      <c r="A47" s="2">
        <v>34</v>
      </c>
      <c r="B47" s="3" t="s">
        <v>166</v>
      </c>
      <c r="C47" s="11"/>
      <c r="D47" s="2">
        <f t="shared" si="3"/>
        <v>0</v>
      </c>
      <c r="E47" s="12"/>
    </row>
    <row r="48" spans="1:5" ht="27.75" customHeight="1" x14ac:dyDescent="0.25">
      <c r="A48" s="2">
        <v>35</v>
      </c>
      <c r="B48" s="3" t="s">
        <v>167</v>
      </c>
      <c r="C48" s="11"/>
      <c r="D48" s="2">
        <f t="shared" si="3"/>
        <v>0</v>
      </c>
      <c r="E48" s="12"/>
    </row>
    <row r="49" spans="1:5" ht="27.75" customHeight="1" x14ac:dyDescent="0.25">
      <c r="A49" s="2">
        <v>36</v>
      </c>
      <c r="B49" s="3" t="s">
        <v>168</v>
      </c>
      <c r="C49" s="11"/>
      <c r="D49" s="2">
        <f t="shared" si="3"/>
        <v>0</v>
      </c>
      <c r="E49" s="12"/>
    </row>
    <row r="50" spans="1:5" ht="27.75" customHeight="1" x14ac:dyDescent="0.25">
      <c r="A50" s="2">
        <v>37</v>
      </c>
      <c r="B50" s="3" t="s">
        <v>169</v>
      </c>
      <c r="C50" s="11"/>
      <c r="D50" s="2">
        <f t="shared" si="3"/>
        <v>0</v>
      </c>
      <c r="E50" s="12"/>
    </row>
    <row r="51" spans="1:5" ht="27.75" customHeight="1" x14ac:dyDescent="0.25">
      <c r="A51" s="2">
        <v>38</v>
      </c>
      <c r="B51" s="3" t="s">
        <v>170</v>
      </c>
      <c r="C51" s="11"/>
      <c r="D51" s="2">
        <f t="shared" si="3"/>
        <v>0</v>
      </c>
      <c r="E51" s="12"/>
    </row>
    <row r="52" spans="1:5" ht="27.75" customHeight="1" x14ac:dyDescent="0.25">
      <c r="A52" s="2">
        <v>39</v>
      </c>
      <c r="B52" s="3" t="s">
        <v>171</v>
      </c>
      <c r="C52" s="11"/>
      <c r="D52" s="2">
        <f t="shared" si="3"/>
        <v>0</v>
      </c>
      <c r="E52" s="12"/>
    </row>
    <row r="53" spans="1:5" ht="27.75" customHeight="1" x14ac:dyDescent="0.25">
      <c r="A53" s="2">
        <v>40</v>
      </c>
      <c r="B53" s="3" t="s">
        <v>172</v>
      </c>
      <c r="C53" s="11"/>
      <c r="D53" s="2">
        <f t="shared" si="3"/>
        <v>0</v>
      </c>
      <c r="E53" s="12"/>
    </row>
    <row r="54" spans="1:5" x14ac:dyDescent="0.25">
      <c r="A54" s="38" t="s">
        <v>173</v>
      </c>
      <c r="B54" s="38"/>
      <c r="C54" s="38"/>
      <c r="D54" s="15">
        <f>SUM(D44:D53)</f>
        <v>0</v>
      </c>
      <c r="E54" s="16"/>
    </row>
    <row r="55" spans="1:5" x14ac:dyDescent="0.25">
      <c r="A55" s="37" t="s">
        <v>174</v>
      </c>
      <c r="B55" s="37"/>
      <c r="C55" s="37"/>
      <c r="D55" s="37"/>
      <c r="E55" s="37"/>
    </row>
    <row r="56" spans="1:5" ht="27.75" customHeight="1" x14ac:dyDescent="0.25">
      <c r="A56" s="2">
        <v>41</v>
      </c>
      <c r="B56" s="3" t="s">
        <v>175</v>
      </c>
      <c r="C56" s="11"/>
      <c r="D56" s="2">
        <f t="shared" ref="D56:D65" si="4">IF(C56="Yes",2,0)</f>
        <v>0</v>
      </c>
      <c r="E56" s="12"/>
    </row>
    <row r="57" spans="1:5" ht="27.75" customHeight="1" x14ac:dyDescent="0.25">
      <c r="A57" s="2">
        <v>42</v>
      </c>
      <c r="B57" s="3" t="s">
        <v>176</v>
      </c>
      <c r="C57" s="11"/>
      <c r="D57" s="2">
        <f t="shared" si="4"/>
        <v>0</v>
      </c>
      <c r="E57" s="12"/>
    </row>
    <row r="58" spans="1:5" ht="27.75" customHeight="1" x14ac:dyDescent="0.25">
      <c r="A58" s="2">
        <v>43</v>
      </c>
      <c r="B58" s="3" t="s">
        <v>177</v>
      </c>
      <c r="C58" s="11"/>
      <c r="D58" s="2">
        <f t="shared" si="4"/>
        <v>0</v>
      </c>
      <c r="E58" s="12"/>
    </row>
    <row r="59" spans="1:5" ht="27.75" customHeight="1" x14ac:dyDescent="0.25">
      <c r="A59" s="2">
        <v>44</v>
      </c>
      <c r="B59" s="3" t="s">
        <v>178</v>
      </c>
      <c r="C59" s="11"/>
      <c r="D59" s="2">
        <f t="shared" si="4"/>
        <v>0</v>
      </c>
      <c r="E59" s="12"/>
    </row>
    <row r="60" spans="1:5" ht="27.75" customHeight="1" x14ac:dyDescent="0.25">
      <c r="A60" s="2">
        <v>45</v>
      </c>
      <c r="B60" s="3" t="s">
        <v>179</v>
      </c>
      <c r="C60" s="11"/>
      <c r="D60" s="2">
        <f t="shared" si="4"/>
        <v>0</v>
      </c>
      <c r="E60" s="12"/>
    </row>
    <row r="61" spans="1:5" ht="27.75" customHeight="1" x14ac:dyDescent="0.25">
      <c r="A61" s="2">
        <v>46</v>
      </c>
      <c r="B61" s="3" t="s">
        <v>180</v>
      </c>
      <c r="C61" s="11"/>
      <c r="D61" s="2">
        <f t="shared" si="4"/>
        <v>0</v>
      </c>
      <c r="E61" s="12"/>
    </row>
    <row r="62" spans="1:5" ht="27.75" customHeight="1" x14ac:dyDescent="0.25">
      <c r="A62" s="2">
        <v>47</v>
      </c>
      <c r="B62" s="3" t="s">
        <v>181</v>
      </c>
      <c r="C62" s="11"/>
      <c r="D62" s="2">
        <f t="shared" si="4"/>
        <v>0</v>
      </c>
      <c r="E62" s="12"/>
    </row>
    <row r="63" spans="1:5" ht="27.75" customHeight="1" x14ac:dyDescent="0.25">
      <c r="A63" s="2">
        <v>48</v>
      </c>
      <c r="B63" s="3" t="s">
        <v>182</v>
      </c>
      <c r="C63" s="11"/>
      <c r="D63" s="2">
        <f t="shared" si="4"/>
        <v>0</v>
      </c>
      <c r="E63" s="12"/>
    </row>
    <row r="64" spans="1:5" ht="27.75" customHeight="1" x14ac:dyDescent="0.25">
      <c r="A64" s="2">
        <v>49</v>
      </c>
      <c r="B64" s="3" t="s">
        <v>183</v>
      </c>
      <c r="C64" s="11"/>
      <c r="D64" s="2">
        <f t="shared" si="4"/>
        <v>0</v>
      </c>
      <c r="E64" s="12"/>
    </row>
    <row r="65" spans="1:5" ht="27.75" customHeight="1" x14ac:dyDescent="0.25">
      <c r="A65" s="2">
        <v>50</v>
      </c>
      <c r="B65" s="3" t="s">
        <v>184</v>
      </c>
      <c r="C65" s="11"/>
      <c r="D65" s="2">
        <f t="shared" si="4"/>
        <v>0</v>
      </c>
      <c r="E65" s="12"/>
    </row>
    <row r="66" spans="1:5" x14ac:dyDescent="0.25">
      <c r="A66" s="38" t="s">
        <v>185</v>
      </c>
      <c r="B66" s="38"/>
      <c r="C66" s="38"/>
      <c r="D66" s="15">
        <f>SUM(D56:D65)</f>
        <v>0</v>
      </c>
      <c r="E66" s="16"/>
    </row>
    <row r="67" spans="1:5" x14ac:dyDescent="0.25">
      <c r="A67" s="39" t="s">
        <v>186</v>
      </c>
      <c r="B67" s="39"/>
      <c r="C67" s="39"/>
      <c r="D67" s="17">
        <f>D18+D30+D42+D54+D66</f>
        <v>0</v>
      </c>
      <c r="E67" s="10"/>
    </row>
    <row r="68" spans="1:5" x14ac:dyDescent="0.25">
      <c r="A68" s="40" t="s">
        <v>187</v>
      </c>
      <c r="B68" s="40"/>
      <c r="C68" s="40"/>
      <c r="D68" s="18">
        <f>D67/100</f>
        <v>0</v>
      </c>
      <c r="E68" s="19"/>
    </row>
    <row r="69" spans="1:5" x14ac:dyDescent="0.25">
      <c r="A69" s="40" t="s">
        <v>188</v>
      </c>
      <c r="B69" s="40"/>
      <c r="C69" s="40"/>
      <c r="D69" s="21" t="str">
        <f>IF(D68&gt;=0.9,"Outstanding",IF(D68&gt;=0.75,"On Track",IF(D68&gt;=0.6,"Improving","Needs Support")))</f>
        <v>Needs Support</v>
      </c>
      <c r="E69" s="19"/>
    </row>
    <row r="71" spans="1:5" x14ac:dyDescent="0.25">
      <c r="A71" s="36" t="s">
        <v>189</v>
      </c>
      <c r="B71" s="36"/>
      <c r="C71" s="36"/>
      <c r="D71" s="36"/>
      <c r="E71" s="36"/>
    </row>
    <row r="73" spans="1:5" x14ac:dyDescent="0.25">
      <c r="B73" s="20" t="s">
        <v>190</v>
      </c>
      <c r="E73" s="20" t="s">
        <v>191</v>
      </c>
    </row>
    <row r="74" spans="1:5" x14ac:dyDescent="0.25">
      <c r="A74" s="22" t="s">
        <v>595</v>
      </c>
    </row>
  </sheetData>
  <mergeCells count="16">
    <mergeCell ref="A1:E1"/>
    <mergeCell ref="E2:E4"/>
    <mergeCell ref="A7:E7"/>
    <mergeCell ref="A18:C18"/>
    <mergeCell ref="A19:E19"/>
    <mergeCell ref="A30:C30"/>
    <mergeCell ref="A31:E31"/>
    <mergeCell ref="A42:C42"/>
    <mergeCell ref="A43:E43"/>
    <mergeCell ref="A54:C54"/>
    <mergeCell ref="A71:E71"/>
    <mergeCell ref="A55:E55"/>
    <mergeCell ref="A66:C66"/>
    <mergeCell ref="A67:C67"/>
    <mergeCell ref="A68:C68"/>
    <mergeCell ref="A69:C69"/>
  </mergeCells>
  <dataValidations count="1">
    <dataValidation type="list" allowBlank="1" showErrorMessage="1" errorTitle="Invalid entry" error="Please select Yes or No" sqref="C8:C17 C20:C29 C32:C41 C44:C53 C56:C65" xr:uid="{00000000-0002-0000-0400-000000000000}">
      <formula1>"Yes,No"</formula1>
      <formula2>0</formula2>
    </dataValidation>
  </dataValidations>
  <pageMargins left="0.75" right="0.75" top="1" bottom="1" header="0.511811023622047" footer="0.511811023622047"/>
  <pageSetup fitToHeight="0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E74"/>
  <sheetViews>
    <sheetView showGridLines="0" zoomScaleNormal="100" workbookViewId="0">
      <selection activeCell="H3" sqref="H3"/>
    </sheetView>
  </sheetViews>
  <sheetFormatPr defaultColWidth="8.5703125" defaultRowHeight="15" x14ac:dyDescent="0.25"/>
  <cols>
    <col min="1" max="1" width="10.28515625" customWidth="1"/>
    <col min="2" max="2" width="68" customWidth="1"/>
    <col min="3" max="3" width="16.7109375" customWidth="1"/>
    <col min="4" max="4" width="11" customWidth="1"/>
    <col min="5" max="5" width="32" customWidth="1"/>
  </cols>
  <sheetData>
    <row r="1" spans="1:5" ht="25.5" customHeight="1" x14ac:dyDescent="0.25">
      <c r="A1" s="29" t="s">
        <v>192</v>
      </c>
      <c r="B1" s="29"/>
      <c r="C1" s="29"/>
      <c r="D1" s="29"/>
      <c r="E1" s="29"/>
    </row>
    <row r="2" spans="1:5" ht="15" customHeight="1" x14ac:dyDescent="0.25">
      <c r="A2" s="23" t="s">
        <v>120</v>
      </c>
      <c r="B2" s="24"/>
      <c r="C2" s="23" t="s">
        <v>121</v>
      </c>
      <c r="D2" s="24"/>
      <c r="E2" s="42" t="s">
        <v>122</v>
      </c>
    </row>
    <row r="3" spans="1:5" ht="25.5" x14ac:dyDescent="0.25">
      <c r="A3" s="25" t="s">
        <v>123</v>
      </c>
      <c r="B3" s="24"/>
      <c r="C3" s="23" t="s">
        <v>124</v>
      </c>
      <c r="D3" s="24"/>
      <c r="E3" s="42"/>
    </row>
    <row r="4" spans="1:5" ht="26.25" x14ac:dyDescent="0.25">
      <c r="A4" s="23" t="s">
        <v>125</v>
      </c>
      <c r="B4" s="24"/>
      <c r="C4" s="26" t="s">
        <v>126</v>
      </c>
      <c r="D4" s="24"/>
      <c r="E4" s="42"/>
    </row>
    <row r="6" spans="1:5" ht="19.5" customHeight="1" x14ac:dyDescent="0.25">
      <c r="A6" s="1" t="s">
        <v>2</v>
      </c>
      <c r="B6" s="1" t="s">
        <v>109</v>
      </c>
      <c r="C6" s="1" t="s">
        <v>110</v>
      </c>
      <c r="D6" s="1" t="s">
        <v>111</v>
      </c>
      <c r="E6" s="1" t="s">
        <v>112</v>
      </c>
    </row>
    <row r="7" spans="1:5" x14ac:dyDescent="0.25">
      <c r="A7" s="37" t="s">
        <v>127</v>
      </c>
      <c r="B7" s="37"/>
      <c r="C7" s="37"/>
      <c r="D7" s="37"/>
      <c r="E7" s="37"/>
    </row>
    <row r="8" spans="1:5" ht="27.75" customHeight="1" x14ac:dyDescent="0.25">
      <c r="A8" s="2">
        <v>1</v>
      </c>
      <c r="B8" s="3" t="s">
        <v>193</v>
      </c>
      <c r="C8" s="11"/>
      <c r="D8" s="2">
        <f t="shared" ref="D8:D17" si="0">IF(C8="Yes",2,0)</f>
        <v>0</v>
      </c>
      <c r="E8" s="12"/>
    </row>
    <row r="9" spans="1:5" ht="27.75" customHeight="1" x14ac:dyDescent="0.25">
      <c r="A9" s="2">
        <v>2</v>
      </c>
      <c r="B9" s="3" t="s">
        <v>194</v>
      </c>
      <c r="C9" s="11"/>
      <c r="D9" s="2">
        <f t="shared" si="0"/>
        <v>0</v>
      </c>
      <c r="E9" s="12"/>
    </row>
    <row r="10" spans="1:5" ht="27.75" customHeight="1" x14ac:dyDescent="0.25">
      <c r="A10" s="2">
        <v>3</v>
      </c>
      <c r="B10" s="3" t="s">
        <v>195</v>
      </c>
      <c r="C10" s="11"/>
      <c r="D10" s="2">
        <f t="shared" si="0"/>
        <v>0</v>
      </c>
      <c r="E10" s="12"/>
    </row>
    <row r="11" spans="1:5" ht="27.75" customHeight="1" x14ac:dyDescent="0.25">
      <c r="A11" s="2">
        <v>4</v>
      </c>
      <c r="B11" s="3" t="s">
        <v>196</v>
      </c>
      <c r="C11" s="11"/>
      <c r="D11" s="2">
        <f t="shared" si="0"/>
        <v>0</v>
      </c>
      <c r="E11" s="12"/>
    </row>
    <row r="12" spans="1:5" ht="27.75" customHeight="1" x14ac:dyDescent="0.25">
      <c r="A12" s="2">
        <v>5</v>
      </c>
      <c r="B12" s="3" t="s">
        <v>197</v>
      </c>
      <c r="C12" s="11"/>
      <c r="D12" s="2">
        <f t="shared" si="0"/>
        <v>0</v>
      </c>
      <c r="E12" s="12"/>
    </row>
    <row r="13" spans="1:5" ht="27.75" customHeight="1" x14ac:dyDescent="0.25">
      <c r="A13" s="2">
        <v>6</v>
      </c>
      <c r="B13" s="3" t="s">
        <v>198</v>
      </c>
      <c r="C13" s="11"/>
      <c r="D13" s="2">
        <f t="shared" si="0"/>
        <v>0</v>
      </c>
      <c r="E13" s="12"/>
    </row>
    <row r="14" spans="1:5" ht="27.75" customHeight="1" x14ac:dyDescent="0.25">
      <c r="A14" s="2">
        <v>7</v>
      </c>
      <c r="B14" s="3" t="s">
        <v>199</v>
      </c>
      <c r="C14" s="11"/>
      <c r="D14" s="2">
        <f t="shared" si="0"/>
        <v>0</v>
      </c>
      <c r="E14" s="12"/>
    </row>
    <row r="15" spans="1:5" ht="27.75" customHeight="1" x14ac:dyDescent="0.25">
      <c r="A15" s="2">
        <v>8</v>
      </c>
      <c r="B15" s="3" t="s">
        <v>200</v>
      </c>
      <c r="C15" s="11"/>
      <c r="D15" s="2">
        <f t="shared" si="0"/>
        <v>0</v>
      </c>
      <c r="E15" s="12"/>
    </row>
    <row r="16" spans="1:5" ht="27.75" customHeight="1" x14ac:dyDescent="0.25">
      <c r="A16" s="2">
        <v>9</v>
      </c>
      <c r="B16" s="3" t="s">
        <v>201</v>
      </c>
      <c r="C16" s="11"/>
      <c r="D16" s="2">
        <f t="shared" si="0"/>
        <v>0</v>
      </c>
      <c r="E16" s="12"/>
    </row>
    <row r="17" spans="1:5" ht="27.75" customHeight="1" x14ac:dyDescent="0.25">
      <c r="A17" s="2">
        <v>10</v>
      </c>
      <c r="B17" s="3" t="s">
        <v>202</v>
      </c>
      <c r="C17" s="11"/>
      <c r="D17" s="2">
        <f t="shared" si="0"/>
        <v>0</v>
      </c>
      <c r="E17" s="12"/>
    </row>
    <row r="18" spans="1:5" x14ac:dyDescent="0.25">
      <c r="A18" s="38" t="s">
        <v>137</v>
      </c>
      <c r="B18" s="38"/>
      <c r="C18" s="38"/>
      <c r="D18" s="15">
        <f>SUM(D8:D17)</f>
        <v>0</v>
      </c>
      <c r="E18" s="16"/>
    </row>
    <row r="19" spans="1:5" x14ac:dyDescent="0.25">
      <c r="A19" s="37" t="s">
        <v>138</v>
      </c>
      <c r="B19" s="37"/>
      <c r="C19" s="37"/>
      <c r="D19" s="37"/>
      <c r="E19" s="37"/>
    </row>
    <row r="20" spans="1:5" ht="27.75" customHeight="1" x14ac:dyDescent="0.25">
      <c r="A20" s="2">
        <v>11</v>
      </c>
      <c r="B20" s="3" t="s">
        <v>203</v>
      </c>
      <c r="C20" s="11"/>
      <c r="D20" s="2">
        <f t="shared" ref="D20:D29" si="1">IF(C20="Yes",2,0)</f>
        <v>0</v>
      </c>
      <c r="E20" s="12"/>
    </row>
    <row r="21" spans="1:5" ht="27.75" customHeight="1" x14ac:dyDescent="0.25">
      <c r="A21" s="2">
        <v>12</v>
      </c>
      <c r="B21" s="3" t="s">
        <v>204</v>
      </c>
      <c r="C21" s="11"/>
      <c r="D21" s="2">
        <f t="shared" si="1"/>
        <v>0</v>
      </c>
      <c r="E21" s="12"/>
    </row>
    <row r="22" spans="1:5" ht="27.75" customHeight="1" x14ac:dyDescent="0.25">
      <c r="A22" s="2">
        <v>13</v>
      </c>
      <c r="B22" s="3" t="s">
        <v>205</v>
      </c>
      <c r="C22" s="11"/>
      <c r="D22" s="2">
        <f t="shared" si="1"/>
        <v>0</v>
      </c>
      <c r="E22" s="12"/>
    </row>
    <row r="23" spans="1:5" ht="27.75" customHeight="1" x14ac:dyDescent="0.25">
      <c r="A23" s="2">
        <v>14</v>
      </c>
      <c r="B23" s="3" t="s">
        <v>206</v>
      </c>
      <c r="C23" s="11"/>
      <c r="D23" s="2">
        <f t="shared" si="1"/>
        <v>0</v>
      </c>
      <c r="E23" s="12"/>
    </row>
    <row r="24" spans="1:5" ht="27.75" customHeight="1" x14ac:dyDescent="0.25">
      <c r="A24" s="2">
        <v>15</v>
      </c>
      <c r="B24" s="3" t="s">
        <v>207</v>
      </c>
      <c r="C24" s="11"/>
      <c r="D24" s="2">
        <f t="shared" si="1"/>
        <v>0</v>
      </c>
      <c r="E24" s="12"/>
    </row>
    <row r="25" spans="1:5" ht="27.75" customHeight="1" x14ac:dyDescent="0.25">
      <c r="A25" s="2">
        <v>16</v>
      </c>
      <c r="B25" s="3" t="s">
        <v>208</v>
      </c>
      <c r="C25" s="11"/>
      <c r="D25" s="2">
        <f t="shared" si="1"/>
        <v>0</v>
      </c>
      <c r="E25" s="12"/>
    </row>
    <row r="26" spans="1:5" ht="27.75" customHeight="1" x14ac:dyDescent="0.25">
      <c r="A26" s="2">
        <v>17</v>
      </c>
      <c r="B26" s="3" t="s">
        <v>209</v>
      </c>
      <c r="C26" s="11"/>
      <c r="D26" s="2">
        <f t="shared" si="1"/>
        <v>0</v>
      </c>
      <c r="E26" s="12"/>
    </row>
    <row r="27" spans="1:5" ht="27.75" customHeight="1" x14ac:dyDescent="0.25">
      <c r="A27" s="2">
        <v>18</v>
      </c>
      <c r="B27" s="3" t="s">
        <v>210</v>
      </c>
      <c r="C27" s="11"/>
      <c r="D27" s="2">
        <f t="shared" si="1"/>
        <v>0</v>
      </c>
      <c r="E27" s="12"/>
    </row>
    <row r="28" spans="1:5" ht="27.75" customHeight="1" x14ac:dyDescent="0.25">
      <c r="A28" s="2">
        <v>19</v>
      </c>
      <c r="B28" s="3" t="s">
        <v>211</v>
      </c>
      <c r="C28" s="11"/>
      <c r="D28" s="2">
        <f t="shared" si="1"/>
        <v>0</v>
      </c>
      <c r="E28" s="12"/>
    </row>
    <row r="29" spans="1:5" ht="27.75" customHeight="1" x14ac:dyDescent="0.25">
      <c r="A29" s="2">
        <v>20</v>
      </c>
      <c r="B29" s="3" t="s">
        <v>212</v>
      </c>
      <c r="C29" s="11"/>
      <c r="D29" s="2">
        <f t="shared" si="1"/>
        <v>0</v>
      </c>
      <c r="E29" s="12"/>
    </row>
    <row r="30" spans="1:5" x14ac:dyDescent="0.25">
      <c r="A30" s="38" t="s">
        <v>149</v>
      </c>
      <c r="B30" s="38"/>
      <c r="C30" s="38"/>
      <c r="D30" s="15">
        <f>SUM(D20:D29)</f>
        <v>0</v>
      </c>
      <c r="E30" s="16"/>
    </row>
    <row r="31" spans="1:5" x14ac:dyDescent="0.25">
      <c r="A31" s="37" t="s">
        <v>150</v>
      </c>
      <c r="B31" s="37"/>
      <c r="C31" s="37"/>
      <c r="D31" s="37"/>
      <c r="E31" s="37"/>
    </row>
    <row r="32" spans="1:5" ht="27.75" customHeight="1" x14ac:dyDescent="0.25">
      <c r="A32" s="2">
        <v>21</v>
      </c>
      <c r="B32" s="3" t="s">
        <v>213</v>
      </c>
      <c r="C32" s="11"/>
      <c r="D32" s="2">
        <f t="shared" ref="D32:D41" si="2">IF(C32="Yes",2,0)</f>
        <v>0</v>
      </c>
      <c r="E32" s="12"/>
    </row>
    <row r="33" spans="1:5" ht="27.75" customHeight="1" x14ac:dyDescent="0.25">
      <c r="A33" s="2">
        <v>22</v>
      </c>
      <c r="B33" s="3" t="s">
        <v>214</v>
      </c>
      <c r="C33" s="11"/>
      <c r="D33" s="2">
        <f t="shared" si="2"/>
        <v>0</v>
      </c>
      <c r="E33" s="12"/>
    </row>
    <row r="34" spans="1:5" ht="27.75" customHeight="1" x14ac:dyDescent="0.25">
      <c r="A34" s="2">
        <v>23</v>
      </c>
      <c r="B34" s="3" t="s">
        <v>215</v>
      </c>
      <c r="C34" s="11"/>
      <c r="D34" s="2">
        <f t="shared" si="2"/>
        <v>0</v>
      </c>
      <c r="E34" s="12"/>
    </row>
    <row r="35" spans="1:5" ht="27.75" customHeight="1" x14ac:dyDescent="0.25">
      <c r="A35" s="2">
        <v>24</v>
      </c>
      <c r="B35" s="3" t="s">
        <v>216</v>
      </c>
      <c r="C35" s="11"/>
      <c r="D35" s="2">
        <f t="shared" si="2"/>
        <v>0</v>
      </c>
      <c r="E35" s="12"/>
    </row>
    <row r="36" spans="1:5" ht="27.75" customHeight="1" x14ac:dyDescent="0.25">
      <c r="A36" s="2">
        <v>25</v>
      </c>
      <c r="B36" s="3" t="s">
        <v>217</v>
      </c>
      <c r="C36" s="11"/>
      <c r="D36" s="2">
        <f t="shared" si="2"/>
        <v>0</v>
      </c>
      <c r="E36" s="12"/>
    </row>
    <row r="37" spans="1:5" ht="27.75" customHeight="1" x14ac:dyDescent="0.25">
      <c r="A37" s="2">
        <v>26</v>
      </c>
      <c r="B37" s="3" t="s">
        <v>218</v>
      </c>
      <c r="C37" s="11"/>
      <c r="D37" s="2">
        <f t="shared" si="2"/>
        <v>0</v>
      </c>
      <c r="E37" s="12"/>
    </row>
    <row r="38" spans="1:5" ht="27.75" customHeight="1" x14ac:dyDescent="0.25">
      <c r="A38" s="2">
        <v>27</v>
      </c>
      <c r="B38" s="3" t="s">
        <v>219</v>
      </c>
      <c r="C38" s="11"/>
      <c r="D38" s="2">
        <f t="shared" si="2"/>
        <v>0</v>
      </c>
      <c r="E38" s="12"/>
    </row>
    <row r="39" spans="1:5" ht="27.75" customHeight="1" x14ac:dyDescent="0.25">
      <c r="A39" s="2">
        <v>28</v>
      </c>
      <c r="B39" s="3" t="s">
        <v>220</v>
      </c>
      <c r="C39" s="11"/>
      <c r="D39" s="2">
        <f t="shared" si="2"/>
        <v>0</v>
      </c>
      <c r="E39" s="12"/>
    </row>
    <row r="40" spans="1:5" ht="27.75" customHeight="1" x14ac:dyDescent="0.25">
      <c r="A40" s="2">
        <v>29</v>
      </c>
      <c r="B40" s="3" t="s">
        <v>221</v>
      </c>
      <c r="C40" s="11"/>
      <c r="D40" s="2">
        <f t="shared" si="2"/>
        <v>0</v>
      </c>
      <c r="E40" s="12"/>
    </row>
    <row r="41" spans="1:5" ht="27.75" customHeight="1" x14ac:dyDescent="0.25">
      <c r="A41" s="2">
        <v>30</v>
      </c>
      <c r="B41" s="3" t="s">
        <v>222</v>
      </c>
      <c r="C41" s="11"/>
      <c r="D41" s="2">
        <f t="shared" si="2"/>
        <v>0</v>
      </c>
      <c r="E41" s="12"/>
    </row>
    <row r="42" spans="1:5" x14ac:dyDescent="0.25">
      <c r="A42" s="38" t="s">
        <v>161</v>
      </c>
      <c r="B42" s="38"/>
      <c r="C42" s="38"/>
      <c r="D42" s="15">
        <f>SUM(D32:D41)</f>
        <v>0</v>
      </c>
      <c r="E42" s="16"/>
    </row>
    <row r="43" spans="1:5" x14ac:dyDescent="0.25">
      <c r="A43" s="37" t="s">
        <v>162</v>
      </c>
      <c r="B43" s="37"/>
      <c r="C43" s="37"/>
      <c r="D43" s="37"/>
      <c r="E43" s="37"/>
    </row>
    <row r="44" spans="1:5" ht="27.75" customHeight="1" x14ac:dyDescent="0.25">
      <c r="A44" s="2">
        <v>31</v>
      </c>
      <c r="B44" s="3" t="s">
        <v>223</v>
      </c>
      <c r="C44" s="11"/>
      <c r="D44" s="2">
        <f t="shared" ref="D44:D53" si="3">IF(C44="Yes",2,0)</f>
        <v>0</v>
      </c>
      <c r="E44" s="12"/>
    </row>
    <row r="45" spans="1:5" ht="27.75" customHeight="1" x14ac:dyDescent="0.25">
      <c r="A45" s="2">
        <v>32</v>
      </c>
      <c r="B45" s="3" t="s">
        <v>224</v>
      </c>
      <c r="C45" s="11"/>
      <c r="D45" s="2">
        <f t="shared" si="3"/>
        <v>0</v>
      </c>
      <c r="E45" s="12"/>
    </row>
    <row r="46" spans="1:5" ht="27.75" customHeight="1" x14ac:dyDescent="0.25">
      <c r="A46" s="2">
        <v>33</v>
      </c>
      <c r="B46" s="3" t="s">
        <v>225</v>
      </c>
      <c r="C46" s="11"/>
      <c r="D46" s="2">
        <f t="shared" si="3"/>
        <v>0</v>
      </c>
      <c r="E46" s="12"/>
    </row>
    <row r="47" spans="1:5" ht="27.75" customHeight="1" x14ac:dyDescent="0.25">
      <c r="A47" s="2">
        <v>34</v>
      </c>
      <c r="B47" s="3" t="s">
        <v>226</v>
      </c>
      <c r="C47" s="11"/>
      <c r="D47" s="2">
        <f t="shared" si="3"/>
        <v>0</v>
      </c>
      <c r="E47" s="12"/>
    </row>
    <row r="48" spans="1:5" ht="27.75" customHeight="1" x14ac:dyDescent="0.25">
      <c r="A48" s="2">
        <v>35</v>
      </c>
      <c r="B48" s="3" t="s">
        <v>227</v>
      </c>
      <c r="C48" s="11"/>
      <c r="D48" s="2">
        <f t="shared" si="3"/>
        <v>0</v>
      </c>
      <c r="E48" s="12"/>
    </row>
    <row r="49" spans="1:5" ht="27.75" customHeight="1" x14ac:dyDescent="0.25">
      <c r="A49" s="2">
        <v>36</v>
      </c>
      <c r="B49" s="3" t="s">
        <v>228</v>
      </c>
      <c r="C49" s="11"/>
      <c r="D49" s="2">
        <f t="shared" si="3"/>
        <v>0</v>
      </c>
      <c r="E49" s="12"/>
    </row>
    <row r="50" spans="1:5" ht="27.75" customHeight="1" x14ac:dyDescent="0.25">
      <c r="A50" s="2">
        <v>37</v>
      </c>
      <c r="B50" s="3" t="s">
        <v>229</v>
      </c>
      <c r="C50" s="11"/>
      <c r="D50" s="2">
        <f t="shared" si="3"/>
        <v>0</v>
      </c>
      <c r="E50" s="12"/>
    </row>
    <row r="51" spans="1:5" ht="27.75" customHeight="1" x14ac:dyDescent="0.25">
      <c r="A51" s="2">
        <v>38</v>
      </c>
      <c r="B51" s="3" t="s">
        <v>230</v>
      </c>
      <c r="C51" s="11"/>
      <c r="D51" s="2">
        <f t="shared" si="3"/>
        <v>0</v>
      </c>
      <c r="E51" s="12"/>
    </row>
    <row r="52" spans="1:5" ht="27.75" customHeight="1" x14ac:dyDescent="0.25">
      <c r="A52" s="2">
        <v>39</v>
      </c>
      <c r="B52" s="3" t="s">
        <v>231</v>
      </c>
      <c r="C52" s="11"/>
      <c r="D52" s="2">
        <f t="shared" si="3"/>
        <v>0</v>
      </c>
      <c r="E52" s="12"/>
    </row>
    <row r="53" spans="1:5" ht="27.75" customHeight="1" x14ac:dyDescent="0.25">
      <c r="A53" s="2">
        <v>40</v>
      </c>
      <c r="B53" s="3" t="s">
        <v>232</v>
      </c>
      <c r="C53" s="11"/>
      <c r="D53" s="2">
        <f t="shared" si="3"/>
        <v>0</v>
      </c>
      <c r="E53" s="12"/>
    </row>
    <row r="54" spans="1:5" x14ac:dyDescent="0.25">
      <c r="A54" s="38" t="s">
        <v>173</v>
      </c>
      <c r="B54" s="38"/>
      <c r="C54" s="38"/>
      <c r="D54" s="15">
        <f>SUM(D44:D53)</f>
        <v>0</v>
      </c>
      <c r="E54" s="16"/>
    </row>
    <row r="55" spans="1:5" x14ac:dyDescent="0.25">
      <c r="A55" s="37" t="s">
        <v>174</v>
      </c>
      <c r="B55" s="37"/>
      <c r="C55" s="37"/>
      <c r="D55" s="37"/>
      <c r="E55" s="37"/>
    </row>
    <row r="56" spans="1:5" ht="27.75" customHeight="1" x14ac:dyDescent="0.25">
      <c r="A56" s="2">
        <v>41</v>
      </c>
      <c r="B56" s="3" t="s">
        <v>233</v>
      </c>
      <c r="C56" s="11"/>
      <c r="D56" s="2">
        <f t="shared" ref="D56:D65" si="4">IF(C56="Yes",2,0)</f>
        <v>0</v>
      </c>
      <c r="E56" s="12"/>
    </row>
    <row r="57" spans="1:5" ht="27.75" customHeight="1" x14ac:dyDescent="0.25">
      <c r="A57" s="2">
        <v>42</v>
      </c>
      <c r="B57" s="3" t="s">
        <v>234</v>
      </c>
      <c r="C57" s="11"/>
      <c r="D57" s="2">
        <f t="shared" si="4"/>
        <v>0</v>
      </c>
      <c r="E57" s="12"/>
    </row>
    <row r="58" spans="1:5" ht="27.75" customHeight="1" x14ac:dyDescent="0.25">
      <c r="A58" s="2">
        <v>43</v>
      </c>
      <c r="B58" s="3" t="s">
        <v>235</v>
      </c>
      <c r="C58" s="11"/>
      <c r="D58" s="2">
        <f t="shared" si="4"/>
        <v>0</v>
      </c>
      <c r="E58" s="12"/>
    </row>
    <row r="59" spans="1:5" ht="27.75" customHeight="1" x14ac:dyDescent="0.25">
      <c r="A59" s="2">
        <v>44</v>
      </c>
      <c r="B59" s="3" t="s">
        <v>236</v>
      </c>
      <c r="C59" s="11"/>
      <c r="D59" s="2">
        <f t="shared" si="4"/>
        <v>0</v>
      </c>
      <c r="E59" s="12"/>
    </row>
    <row r="60" spans="1:5" ht="27.75" customHeight="1" x14ac:dyDescent="0.25">
      <c r="A60" s="2">
        <v>45</v>
      </c>
      <c r="B60" s="3" t="s">
        <v>237</v>
      </c>
      <c r="C60" s="11"/>
      <c r="D60" s="2">
        <f t="shared" si="4"/>
        <v>0</v>
      </c>
      <c r="E60" s="12"/>
    </row>
    <row r="61" spans="1:5" ht="27.75" customHeight="1" x14ac:dyDescent="0.25">
      <c r="A61" s="2">
        <v>46</v>
      </c>
      <c r="B61" s="3" t="s">
        <v>238</v>
      </c>
      <c r="C61" s="11"/>
      <c r="D61" s="2">
        <f t="shared" si="4"/>
        <v>0</v>
      </c>
      <c r="E61" s="12"/>
    </row>
    <row r="62" spans="1:5" ht="27.75" customHeight="1" x14ac:dyDescent="0.25">
      <c r="A62" s="2">
        <v>47</v>
      </c>
      <c r="B62" s="3" t="s">
        <v>239</v>
      </c>
      <c r="C62" s="11"/>
      <c r="D62" s="2">
        <f t="shared" si="4"/>
        <v>0</v>
      </c>
      <c r="E62" s="12"/>
    </row>
    <row r="63" spans="1:5" ht="27.75" customHeight="1" x14ac:dyDescent="0.25">
      <c r="A63" s="2">
        <v>48</v>
      </c>
      <c r="B63" s="3" t="s">
        <v>240</v>
      </c>
      <c r="C63" s="11"/>
      <c r="D63" s="2">
        <f t="shared" si="4"/>
        <v>0</v>
      </c>
      <c r="E63" s="12"/>
    </row>
    <row r="64" spans="1:5" ht="27.75" customHeight="1" x14ac:dyDescent="0.25">
      <c r="A64" s="2">
        <v>49</v>
      </c>
      <c r="B64" s="3" t="s">
        <v>241</v>
      </c>
      <c r="C64" s="11"/>
      <c r="D64" s="2">
        <f t="shared" si="4"/>
        <v>0</v>
      </c>
      <c r="E64" s="12"/>
    </row>
    <row r="65" spans="1:5" ht="27.75" customHeight="1" x14ac:dyDescent="0.25">
      <c r="A65" s="2">
        <v>50</v>
      </c>
      <c r="B65" s="3" t="s">
        <v>242</v>
      </c>
      <c r="C65" s="11"/>
      <c r="D65" s="2">
        <f t="shared" si="4"/>
        <v>0</v>
      </c>
      <c r="E65" s="12"/>
    </row>
    <row r="66" spans="1:5" x14ac:dyDescent="0.25">
      <c r="A66" s="38" t="s">
        <v>185</v>
      </c>
      <c r="B66" s="38"/>
      <c r="C66" s="38"/>
      <c r="D66" s="15">
        <f>SUM(D56:D65)</f>
        <v>0</v>
      </c>
      <c r="E66" s="16"/>
    </row>
    <row r="67" spans="1:5" x14ac:dyDescent="0.25">
      <c r="A67" s="39" t="s">
        <v>186</v>
      </c>
      <c r="B67" s="39"/>
      <c r="C67" s="39"/>
      <c r="D67" s="17">
        <f>D18+D30+D42+D54+D66</f>
        <v>0</v>
      </c>
      <c r="E67" s="10"/>
    </row>
    <row r="68" spans="1:5" x14ac:dyDescent="0.25">
      <c r="A68" s="40" t="s">
        <v>187</v>
      </c>
      <c r="B68" s="40"/>
      <c r="C68" s="40"/>
      <c r="D68" s="18">
        <f>D67/100</f>
        <v>0</v>
      </c>
      <c r="E68" s="19"/>
    </row>
    <row r="69" spans="1:5" x14ac:dyDescent="0.25">
      <c r="A69" s="40" t="s">
        <v>188</v>
      </c>
      <c r="B69" s="40"/>
      <c r="C69" s="40"/>
      <c r="D69" s="21" t="str">
        <f>IF(D68&gt;=0.9,"Outstanding",IF(D68&gt;=0.75,"On Track",IF(D68&gt;=0.6,"Improving","Needs Support")))</f>
        <v>Needs Support</v>
      </c>
      <c r="E69" s="19"/>
    </row>
    <row r="71" spans="1:5" x14ac:dyDescent="0.25">
      <c r="A71" s="36" t="s">
        <v>189</v>
      </c>
      <c r="B71" s="36"/>
      <c r="C71" s="36"/>
      <c r="D71" s="36"/>
      <c r="E71" s="36"/>
    </row>
    <row r="73" spans="1:5" x14ac:dyDescent="0.25">
      <c r="B73" s="20" t="s">
        <v>190</v>
      </c>
      <c r="E73" s="20" t="s">
        <v>191</v>
      </c>
    </row>
    <row r="74" spans="1:5" x14ac:dyDescent="0.25">
      <c r="A74" s="22" t="s">
        <v>595</v>
      </c>
    </row>
  </sheetData>
  <mergeCells count="16">
    <mergeCell ref="A1:E1"/>
    <mergeCell ref="E2:E4"/>
    <mergeCell ref="A7:E7"/>
    <mergeCell ref="A18:C18"/>
    <mergeCell ref="A19:E19"/>
    <mergeCell ref="A30:C30"/>
    <mergeCell ref="A31:E31"/>
    <mergeCell ref="A42:C42"/>
    <mergeCell ref="A43:E43"/>
    <mergeCell ref="A54:C54"/>
    <mergeCell ref="A71:E71"/>
    <mergeCell ref="A55:E55"/>
    <mergeCell ref="A66:C66"/>
    <mergeCell ref="A67:C67"/>
    <mergeCell ref="A68:C68"/>
    <mergeCell ref="A69:C69"/>
  </mergeCells>
  <dataValidations count="1">
    <dataValidation type="list" allowBlank="1" showErrorMessage="1" errorTitle="Invalid entry" error="Please select Yes or No" sqref="C8:C17 C20:C29 C32:C41 C44:C53 C56:C65" xr:uid="{00000000-0002-0000-0500-000000000000}">
      <formula1>"Yes,No"</formula1>
      <formula2>0</formula2>
    </dataValidation>
  </dataValidations>
  <pageMargins left="0.75" right="0.75" top="1" bottom="1" header="0.511811023622047" footer="0.511811023622047"/>
  <pageSetup fitToHeight="0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E74"/>
  <sheetViews>
    <sheetView showGridLines="0" tabSelected="1" topLeftCell="A64" zoomScaleNormal="100" workbookViewId="0">
      <selection activeCell="B73" sqref="B73"/>
    </sheetView>
  </sheetViews>
  <sheetFormatPr defaultColWidth="8.5703125" defaultRowHeight="15" x14ac:dyDescent="0.25"/>
  <cols>
    <col min="1" max="1" width="6" customWidth="1"/>
    <col min="2" max="2" width="68" customWidth="1"/>
    <col min="3" max="3" width="12" customWidth="1"/>
    <col min="4" max="4" width="9" customWidth="1"/>
    <col min="5" max="5" width="32" customWidth="1"/>
  </cols>
  <sheetData>
    <row r="1" spans="1:5" ht="25.5" customHeight="1" x14ac:dyDescent="0.25">
      <c r="A1" s="29" t="s">
        <v>243</v>
      </c>
      <c r="B1" s="29"/>
      <c r="C1" s="29"/>
      <c r="D1" s="29"/>
      <c r="E1" s="29"/>
    </row>
    <row r="2" spans="1:5" ht="15" customHeight="1" x14ac:dyDescent="0.25">
      <c r="A2" s="14" t="s">
        <v>120</v>
      </c>
      <c r="B2" s="13"/>
      <c r="C2" s="14" t="s">
        <v>121</v>
      </c>
      <c r="D2" s="13"/>
      <c r="E2" s="41" t="s">
        <v>122</v>
      </c>
    </row>
    <row r="3" spans="1:5" x14ac:dyDescent="0.25">
      <c r="A3" s="14" t="s">
        <v>123</v>
      </c>
      <c r="B3" s="13" t="s">
        <v>114</v>
      </c>
      <c r="C3" s="14" t="s">
        <v>124</v>
      </c>
      <c r="D3" s="13"/>
      <c r="E3" s="41"/>
    </row>
    <row r="4" spans="1:5" x14ac:dyDescent="0.25">
      <c r="A4" s="14" t="s">
        <v>125</v>
      </c>
      <c r="B4" s="13"/>
      <c r="C4" s="14" t="s">
        <v>126</v>
      </c>
      <c r="D4" s="13"/>
      <c r="E4" s="41"/>
    </row>
    <row r="6" spans="1:5" ht="19.5" customHeight="1" x14ac:dyDescent="0.25">
      <c r="A6" s="1" t="s">
        <v>2</v>
      </c>
      <c r="B6" s="1" t="s">
        <v>109</v>
      </c>
      <c r="C6" s="1" t="s">
        <v>110</v>
      </c>
      <c r="D6" s="1" t="s">
        <v>111</v>
      </c>
      <c r="E6" s="1" t="s">
        <v>112</v>
      </c>
    </row>
    <row r="7" spans="1:5" x14ac:dyDescent="0.25">
      <c r="A7" s="37" t="s">
        <v>127</v>
      </c>
      <c r="B7" s="37"/>
      <c r="C7" s="37"/>
      <c r="D7" s="37"/>
      <c r="E7" s="37"/>
    </row>
    <row r="8" spans="1:5" ht="27.75" customHeight="1" x14ac:dyDescent="0.25">
      <c r="A8" s="2">
        <v>1</v>
      </c>
      <c r="B8" s="3" t="s">
        <v>244</v>
      </c>
      <c r="C8" s="11"/>
      <c r="D8" s="2">
        <f t="shared" ref="D8:D17" si="0">IF(C8="Yes",2,0)</f>
        <v>0</v>
      </c>
      <c r="E8" s="12"/>
    </row>
    <row r="9" spans="1:5" ht="27.75" customHeight="1" x14ac:dyDescent="0.25">
      <c r="A9" s="2">
        <v>2</v>
      </c>
      <c r="B9" s="3" t="s">
        <v>245</v>
      </c>
      <c r="C9" s="11"/>
      <c r="D9" s="2">
        <f t="shared" si="0"/>
        <v>0</v>
      </c>
      <c r="E9" s="12"/>
    </row>
    <row r="10" spans="1:5" ht="27.75" customHeight="1" x14ac:dyDescent="0.25">
      <c r="A10" s="2">
        <v>3</v>
      </c>
      <c r="B10" s="3" t="s">
        <v>246</v>
      </c>
      <c r="C10" s="11"/>
      <c r="D10" s="2">
        <f t="shared" si="0"/>
        <v>0</v>
      </c>
      <c r="E10" s="12"/>
    </row>
    <row r="11" spans="1:5" ht="27.75" customHeight="1" x14ac:dyDescent="0.25">
      <c r="A11" s="2">
        <v>4</v>
      </c>
      <c r="B11" s="3" t="s">
        <v>247</v>
      </c>
      <c r="C11" s="11"/>
      <c r="D11" s="2">
        <f t="shared" si="0"/>
        <v>0</v>
      </c>
      <c r="E11" s="12"/>
    </row>
    <row r="12" spans="1:5" ht="27.75" customHeight="1" x14ac:dyDescent="0.25">
      <c r="A12" s="2">
        <v>5</v>
      </c>
      <c r="B12" s="3" t="s">
        <v>248</v>
      </c>
      <c r="C12" s="11"/>
      <c r="D12" s="2">
        <f t="shared" si="0"/>
        <v>0</v>
      </c>
      <c r="E12" s="12"/>
    </row>
    <row r="13" spans="1:5" ht="27.75" customHeight="1" x14ac:dyDescent="0.25">
      <c r="A13" s="2">
        <v>6</v>
      </c>
      <c r="B13" s="3" t="s">
        <v>249</v>
      </c>
      <c r="C13" s="11"/>
      <c r="D13" s="2">
        <f t="shared" si="0"/>
        <v>0</v>
      </c>
      <c r="E13" s="12"/>
    </row>
    <row r="14" spans="1:5" ht="27.75" customHeight="1" x14ac:dyDescent="0.25">
      <c r="A14" s="2">
        <v>7</v>
      </c>
      <c r="B14" s="3" t="s">
        <v>250</v>
      </c>
      <c r="C14" s="11"/>
      <c r="D14" s="2">
        <f t="shared" si="0"/>
        <v>0</v>
      </c>
      <c r="E14" s="12"/>
    </row>
    <row r="15" spans="1:5" ht="27.75" customHeight="1" x14ac:dyDescent="0.25">
      <c r="A15" s="2">
        <v>8</v>
      </c>
      <c r="B15" s="3" t="s">
        <v>251</v>
      </c>
      <c r="C15" s="11"/>
      <c r="D15" s="2">
        <f t="shared" si="0"/>
        <v>0</v>
      </c>
      <c r="E15" s="12"/>
    </row>
    <row r="16" spans="1:5" ht="27.75" customHeight="1" x14ac:dyDescent="0.25">
      <c r="A16" s="2">
        <v>9</v>
      </c>
      <c r="B16" s="3" t="s">
        <v>252</v>
      </c>
      <c r="C16" s="11"/>
      <c r="D16" s="2">
        <f t="shared" si="0"/>
        <v>0</v>
      </c>
      <c r="E16" s="12"/>
    </row>
    <row r="17" spans="1:5" ht="27.75" customHeight="1" x14ac:dyDescent="0.25">
      <c r="A17" s="2">
        <v>10</v>
      </c>
      <c r="B17" s="3" t="s">
        <v>253</v>
      </c>
      <c r="C17" s="11"/>
      <c r="D17" s="2">
        <f t="shared" si="0"/>
        <v>0</v>
      </c>
      <c r="E17" s="12"/>
    </row>
    <row r="18" spans="1:5" x14ac:dyDescent="0.25">
      <c r="A18" s="38" t="s">
        <v>137</v>
      </c>
      <c r="B18" s="38"/>
      <c r="C18" s="38"/>
      <c r="D18" s="15">
        <f>SUM(D8:D17)</f>
        <v>0</v>
      </c>
      <c r="E18" s="16"/>
    </row>
    <row r="19" spans="1:5" x14ac:dyDescent="0.25">
      <c r="A19" s="37" t="s">
        <v>138</v>
      </c>
      <c r="B19" s="37"/>
      <c r="C19" s="37"/>
      <c r="D19" s="37"/>
      <c r="E19" s="37"/>
    </row>
    <row r="20" spans="1:5" ht="27.75" customHeight="1" x14ac:dyDescent="0.25">
      <c r="A20" s="2">
        <v>11</v>
      </c>
      <c r="B20" s="3" t="s">
        <v>254</v>
      </c>
      <c r="C20" s="11"/>
      <c r="D20" s="2">
        <f t="shared" ref="D20:D29" si="1">IF(C20="Yes",2,0)</f>
        <v>0</v>
      </c>
      <c r="E20" s="12"/>
    </row>
    <row r="21" spans="1:5" ht="27.75" customHeight="1" x14ac:dyDescent="0.25">
      <c r="A21" s="2">
        <v>12</v>
      </c>
      <c r="B21" s="3" t="s">
        <v>255</v>
      </c>
      <c r="C21" s="11"/>
      <c r="D21" s="2">
        <f t="shared" si="1"/>
        <v>0</v>
      </c>
      <c r="E21" s="12"/>
    </row>
    <row r="22" spans="1:5" ht="27.75" customHeight="1" x14ac:dyDescent="0.25">
      <c r="A22" s="2">
        <v>13</v>
      </c>
      <c r="B22" s="3" t="s">
        <v>256</v>
      </c>
      <c r="C22" s="11"/>
      <c r="D22" s="2">
        <f t="shared" si="1"/>
        <v>0</v>
      </c>
      <c r="E22" s="12"/>
    </row>
    <row r="23" spans="1:5" ht="27.75" customHeight="1" x14ac:dyDescent="0.25">
      <c r="A23" s="2">
        <v>14</v>
      </c>
      <c r="B23" s="3" t="s">
        <v>257</v>
      </c>
      <c r="C23" s="11"/>
      <c r="D23" s="2">
        <f t="shared" si="1"/>
        <v>0</v>
      </c>
      <c r="E23" s="12"/>
    </row>
    <row r="24" spans="1:5" ht="27.75" customHeight="1" x14ac:dyDescent="0.25">
      <c r="A24" s="2">
        <v>15</v>
      </c>
      <c r="B24" s="3" t="s">
        <v>258</v>
      </c>
      <c r="C24" s="11"/>
      <c r="D24" s="2">
        <f t="shared" si="1"/>
        <v>0</v>
      </c>
      <c r="E24" s="12"/>
    </row>
    <row r="25" spans="1:5" ht="27.75" customHeight="1" x14ac:dyDescent="0.25">
      <c r="A25" s="2">
        <v>16</v>
      </c>
      <c r="B25" s="3" t="s">
        <v>259</v>
      </c>
      <c r="C25" s="11"/>
      <c r="D25" s="2">
        <f t="shared" si="1"/>
        <v>0</v>
      </c>
      <c r="E25" s="12"/>
    </row>
    <row r="26" spans="1:5" ht="27.75" customHeight="1" x14ac:dyDescent="0.25">
      <c r="A26" s="2">
        <v>17</v>
      </c>
      <c r="B26" s="3" t="s">
        <v>260</v>
      </c>
      <c r="C26" s="11"/>
      <c r="D26" s="2">
        <f t="shared" si="1"/>
        <v>0</v>
      </c>
      <c r="E26" s="12"/>
    </row>
    <row r="27" spans="1:5" ht="27.75" customHeight="1" x14ac:dyDescent="0.25">
      <c r="A27" s="2">
        <v>18</v>
      </c>
      <c r="B27" s="3" t="s">
        <v>261</v>
      </c>
      <c r="C27" s="11"/>
      <c r="D27" s="2">
        <f t="shared" si="1"/>
        <v>0</v>
      </c>
      <c r="E27" s="12"/>
    </row>
    <row r="28" spans="1:5" ht="27.75" customHeight="1" x14ac:dyDescent="0.25">
      <c r="A28" s="2">
        <v>19</v>
      </c>
      <c r="B28" s="3" t="s">
        <v>262</v>
      </c>
      <c r="C28" s="11"/>
      <c r="D28" s="2">
        <f t="shared" si="1"/>
        <v>0</v>
      </c>
      <c r="E28" s="12"/>
    </row>
    <row r="29" spans="1:5" ht="27.75" customHeight="1" x14ac:dyDescent="0.25">
      <c r="A29" s="2">
        <v>20</v>
      </c>
      <c r="B29" s="3" t="s">
        <v>263</v>
      </c>
      <c r="C29" s="11"/>
      <c r="D29" s="2">
        <f t="shared" si="1"/>
        <v>0</v>
      </c>
      <c r="E29" s="12"/>
    </row>
    <row r="30" spans="1:5" x14ac:dyDescent="0.25">
      <c r="A30" s="38" t="s">
        <v>149</v>
      </c>
      <c r="B30" s="38"/>
      <c r="C30" s="38"/>
      <c r="D30" s="15">
        <f>SUM(D20:D29)</f>
        <v>0</v>
      </c>
      <c r="E30" s="16"/>
    </row>
    <row r="31" spans="1:5" x14ac:dyDescent="0.25">
      <c r="A31" s="37" t="s">
        <v>150</v>
      </c>
      <c r="B31" s="37"/>
      <c r="C31" s="37"/>
      <c r="D31" s="37"/>
      <c r="E31" s="37"/>
    </row>
    <row r="32" spans="1:5" ht="27.75" customHeight="1" x14ac:dyDescent="0.25">
      <c r="A32" s="2">
        <v>21</v>
      </c>
      <c r="B32" s="3" t="s">
        <v>264</v>
      </c>
      <c r="C32" s="11"/>
      <c r="D32" s="2">
        <f t="shared" ref="D32:D41" si="2">IF(C32="Yes",2,0)</f>
        <v>0</v>
      </c>
      <c r="E32" s="12"/>
    </row>
    <row r="33" spans="1:5" ht="27.75" customHeight="1" x14ac:dyDescent="0.25">
      <c r="A33" s="2">
        <v>22</v>
      </c>
      <c r="B33" s="3" t="s">
        <v>265</v>
      </c>
      <c r="C33" s="11"/>
      <c r="D33" s="2">
        <f t="shared" si="2"/>
        <v>0</v>
      </c>
      <c r="E33" s="12"/>
    </row>
    <row r="34" spans="1:5" ht="27.75" customHeight="1" x14ac:dyDescent="0.25">
      <c r="A34" s="2">
        <v>23</v>
      </c>
      <c r="B34" s="3" t="s">
        <v>266</v>
      </c>
      <c r="C34" s="11"/>
      <c r="D34" s="2">
        <f t="shared" si="2"/>
        <v>0</v>
      </c>
      <c r="E34" s="12"/>
    </row>
    <row r="35" spans="1:5" ht="27.75" customHeight="1" x14ac:dyDescent="0.25">
      <c r="A35" s="2">
        <v>24</v>
      </c>
      <c r="B35" s="3" t="s">
        <v>267</v>
      </c>
      <c r="C35" s="11"/>
      <c r="D35" s="2">
        <f t="shared" si="2"/>
        <v>0</v>
      </c>
      <c r="E35" s="12"/>
    </row>
    <row r="36" spans="1:5" ht="27.75" customHeight="1" x14ac:dyDescent="0.25">
      <c r="A36" s="2">
        <v>25</v>
      </c>
      <c r="B36" s="3" t="s">
        <v>268</v>
      </c>
      <c r="C36" s="11"/>
      <c r="D36" s="2">
        <f t="shared" si="2"/>
        <v>0</v>
      </c>
      <c r="E36" s="12"/>
    </row>
    <row r="37" spans="1:5" ht="27.75" customHeight="1" x14ac:dyDescent="0.25">
      <c r="A37" s="2">
        <v>26</v>
      </c>
      <c r="B37" s="3" t="s">
        <v>269</v>
      </c>
      <c r="C37" s="11"/>
      <c r="D37" s="2">
        <f t="shared" si="2"/>
        <v>0</v>
      </c>
      <c r="E37" s="12"/>
    </row>
    <row r="38" spans="1:5" ht="27.75" customHeight="1" x14ac:dyDescent="0.25">
      <c r="A38" s="2">
        <v>27</v>
      </c>
      <c r="B38" s="3" t="s">
        <v>270</v>
      </c>
      <c r="C38" s="11"/>
      <c r="D38" s="2">
        <f t="shared" si="2"/>
        <v>0</v>
      </c>
      <c r="E38" s="12"/>
    </row>
    <row r="39" spans="1:5" ht="27.75" customHeight="1" x14ac:dyDescent="0.25">
      <c r="A39" s="2">
        <v>28</v>
      </c>
      <c r="B39" s="3" t="s">
        <v>271</v>
      </c>
      <c r="C39" s="11"/>
      <c r="D39" s="2">
        <f t="shared" si="2"/>
        <v>0</v>
      </c>
      <c r="E39" s="12"/>
    </row>
    <row r="40" spans="1:5" ht="27.75" customHeight="1" x14ac:dyDescent="0.25">
      <c r="A40" s="2">
        <v>29</v>
      </c>
      <c r="B40" s="3" t="s">
        <v>272</v>
      </c>
      <c r="C40" s="11"/>
      <c r="D40" s="2">
        <f t="shared" si="2"/>
        <v>0</v>
      </c>
      <c r="E40" s="12"/>
    </row>
    <row r="41" spans="1:5" ht="27.75" customHeight="1" x14ac:dyDescent="0.25">
      <c r="A41" s="2">
        <v>30</v>
      </c>
      <c r="B41" s="3" t="s">
        <v>273</v>
      </c>
      <c r="C41" s="11"/>
      <c r="D41" s="2">
        <f t="shared" si="2"/>
        <v>0</v>
      </c>
      <c r="E41" s="12"/>
    </row>
    <row r="42" spans="1:5" x14ac:dyDescent="0.25">
      <c r="A42" s="38" t="s">
        <v>161</v>
      </c>
      <c r="B42" s="38"/>
      <c r="C42" s="38"/>
      <c r="D42" s="15">
        <f>SUM(D32:D41)</f>
        <v>0</v>
      </c>
      <c r="E42" s="16"/>
    </row>
    <row r="43" spans="1:5" x14ac:dyDescent="0.25">
      <c r="A43" s="37" t="s">
        <v>162</v>
      </c>
      <c r="B43" s="37"/>
      <c r="C43" s="37"/>
      <c r="D43" s="37"/>
      <c r="E43" s="37"/>
    </row>
    <row r="44" spans="1:5" ht="27.75" customHeight="1" x14ac:dyDescent="0.25">
      <c r="A44" s="2">
        <v>31</v>
      </c>
      <c r="B44" s="3" t="s">
        <v>274</v>
      </c>
      <c r="C44" s="11"/>
      <c r="D44" s="2">
        <f t="shared" ref="D44:D53" si="3">IF(C44="Yes",2,0)</f>
        <v>0</v>
      </c>
      <c r="E44" s="12"/>
    </row>
    <row r="45" spans="1:5" ht="27.75" customHeight="1" x14ac:dyDescent="0.25">
      <c r="A45" s="2">
        <v>32</v>
      </c>
      <c r="B45" s="3" t="s">
        <v>275</v>
      </c>
      <c r="C45" s="11"/>
      <c r="D45" s="2">
        <f t="shared" si="3"/>
        <v>0</v>
      </c>
      <c r="E45" s="12"/>
    </row>
    <row r="46" spans="1:5" ht="27.75" customHeight="1" x14ac:dyDescent="0.25">
      <c r="A46" s="2">
        <v>33</v>
      </c>
      <c r="B46" s="3" t="s">
        <v>276</v>
      </c>
      <c r="C46" s="11"/>
      <c r="D46" s="2">
        <f t="shared" si="3"/>
        <v>0</v>
      </c>
      <c r="E46" s="12"/>
    </row>
    <row r="47" spans="1:5" ht="27.75" customHeight="1" x14ac:dyDescent="0.25">
      <c r="A47" s="2">
        <v>34</v>
      </c>
      <c r="B47" s="3" t="s">
        <v>277</v>
      </c>
      <c r="C47" s="11"/>
      <c r="D47" s="2">
        <f t="shared" si="3"/>
        <v>0</v>
      </c>
      <c r="E47" s="12"/>
    </row>
    <row r="48" spans="1:5" ht="27.75" customHeight="1" x14ac:dyDescent="0.25">
      <c r="A48" s="2">
        <v>35</v>
      </c>
      <c r="B48" s="3" t="s">
        <v>278</v>
      </c>
      <c r="C48" s="11"/>
      <c r="D48" s="2">
        <f t="shared" si="3"/>
        <v>0</v>
      </c>
      <c r="E48" s="12"/>
    </row>
    <row r="49" spans="1:5" ht="27.75" customHeight="1" x14ac:dyDescent="0.25">
      <c r="A49" s="2">
        <v>36</v>
      </c>
      <c r="B49" s="3" t="s">
        <v>279</v>
      </c>
      <c r="C49" s="11"/>
      <c r="D49" s="2">
        <f t="shared" si="3"/>
        <v>0</v>
      </c>
      <c r="E49" s="12"/>
    </row>
    <row r="50" spans="1:5" ht="27.75" customHeight="1" x14ac:dyDescent="0.25">
      <c r="A50" s="2">
        <v>37</v>
      </c>
      <c r="B50" s="3" t="s">
        <v>280</v>
      </c>
      <c r="C50" s="11"/>
      <c r="D50" s="2">
        <f t="shared" si="3"/>
        <v>0</v>
      </c>
      <c r="E50" s="12"/>
    </row>
    <row r="51" spans="1:5" ht="27.75" customHeight="1" x14ac:dyDescent="0.25">
      <c r="A51" s="2">
        <v>38</v>
      </c>
      <c r="B51" s="3" t="s">
        <v>281</v>
      </c>
      <c r="C51" s="11"/>
      <c r="D51" s="2">
        <f t="shared" si="3"/>
        <v>0</v>
      </c>
      <c r="E51" s="12"/>
    </row>
    <row r="52" spans="1:5" ht="27.75" customHeight="1" x14ac:dyDescent="0.25">
      <c r="A52" s="2">
        <v>39</v>
      </c>
      <c r="B52" s="3" t="s">
        <v>282</v>
      </c>
      <c r="C52" s="11"/>
      <c r="D52" s="2">
        <f t="shared" si="3"/>
        <v>0</v>
      </c>
      <c r="E52" s="12"/>
    </row>
    <row r="53" spans="1:5" ht="27.75" customHeight="1" x14ac:dyDescent="0.25">
      <c r="A53" s="2">
        <v>40</v>
      </c>
      <c r="B53" s="3" t="s">
        <v>283</v>
      </c>
      <c r="C53" s="11"/>
      <c r="D53" s="2">
        <f t="shared" si="3"/>
        <v>0</v>
      </c>
      <c r="E53" s="12"/>
    </row>
    <row r="54" spans="1:5" x14ac:dyDescent="0.25">
      <c r="A54" s="38" t="s">
        <v>173</v>
      </c>
      <c r="B54" s="38"/>
      <c r="C54" s="38"/>
      <c r="D54" s="15">
        <f>SUM(D44:D53)</f>
        <v>0</v>
      </c>
      <c r="E54" s="16"/>
    </row>
    <row r="55" spans="1:5" x14ac:dyDescent="0.25">
      <c r="A55" s="37" t="s">
        <v>174</v>
      </c>
      <c r="B55" s="37"/>
      <c r="C55" s="37"/>
      <c r="D55" s="37"/>
      <c r="E55" s="37"/>
    </row>
    <row r="56" spans="1:5" ht="27.75" customHeight="1" x14ac:dyDescent="0.25">
      <c r="A56" s="2">
        <v>41</v>
      </c>
      <c r="B56" s="3" t="s">
        <v>284</v>
      </c>
      <c r="C56" s="11"/>
      <c r="D56" s="2">
        <f t="shared" ref="D56:D65" si="4">IF(C56="Yes",2,0)</f>
        <v>0</v>
      </c>
      <c r="E56" s="12"/>
    </row>
    <row r="57" spans="1:5" ht="27.75" customHeight="1" x14ac:dyDescent="0.25">
      <c r="A57" s="2">
        <v>42</v>
      </c>
      <c r="B57" s="3" t="s">
        <v>285</v>
      </c>
      <c r="C57" s="11"/>
      <c r="D57" s="2">
        <f t="shared" si="4"/>
        <v>0</v>
      </c>
      <c r="E57" s="12"/>
    </row>
    <row r="58" spans="1:5" ht="27.75" customHeight="1" x14ac:dyDescent="0.25">
      <c r="A58" s="2">
        <v>43</v>
      </c>
      <c r="B58" s="3" t="s">
        <v>286</v>
      </c>
      <c r="C58" s="11"/>
      <c r="D58" s="2">
        <f t="shared" si="4"/>
        <v>0</v>
      </c>
      <c r="E58" s="12"/>
    </row>
    <row r="59" spans="1:5" ht="27.75" customHeight="1" x14ac:dyDescent="0.25">
      <c r="A59" s="2">
        <v>44</v>
      </c>
      <c r="B59" s="3" t="s">
        <v>287</v>
      </c>
      <c r="C59" s="11"/>
      <c r="D59" s="2">
        <f t="shared" si="4"/>
        <v>0</v>
      </c>
      <c r="E59" s="12"/>
    </row>
    <row r="60" spans="1:5" ht="27.75" customHeight="1" x14ac:dyDescent="0.25">
      <c r="A60" s="2">
        <v>45</v>
      </c>
      <c r="B60" s="3" t="s">
        <v>288</v>
      </c>
      <c r="C60" s="11"/>
      <c r="D60" s="2">
        <f t="shared" si="4"/>
        <v>0</v>
      </c>
      <c r="E60" s="12"/>
    </row>
    <row r="61" spans="1:5" ht="27.75" customHeight="1" x14ac:dyDescent="0.25">
      <c r="A61" s="2">
        <v>46</v>
      </c>
      <c r="B61" s="3" t="s">
        <v>289</v>
      </c>
      <c r="C61" s="11"/>
      <c r="D61" s="2">
        <f t="shared" si="4"/>
        <v>0</v>
      </c>
      <c r="E61" s="12"/>
    </row>
    <row r="62" spans="1:5" ht="27.75" customHeight="1" x14ac:dyDescent="0.25">
      <c r="A62" s="2">
        <v>47</v>
      </c>
      <c r="B62" s="3" t="s">
        <v>290</v>
      </c>
      <c r="C62" s="11"/>
      <c r="D62" s="2">
        <f t="shared" si="4"/>
        <v>0</v>
      </c>
      <c r="E62" s="12"/>
    </row>
    <row r="63" spans="1:5" ht="27.75" customHeight="1" x14ac:dyDescent="0.25">
      <c r="A63" s="2">
        <v>48</v>
      </c>
      <c r="B63" s="3" t="s">
        <v>291</v>
      </c>
      <c r="C63" s="11"/>
      <c r="D63" s="2">
        <f t="shared" si="4"/>
        <v>0</v>
      </c>
      <c r="E63" s="12"/>
    </row>
    <row r="64" spans="1:5" ht="27.75" customHeight="1" x14ac:dyDescent="0.25">
      <c r="A64" s="2">
        <v>49</v>
      </c>
      <c r="B64" s="3" t="s">
        <v>292</v>
      </c>
      <c r="C64" s="11"/>
      <c r="D64" s="2">
        <f t="shared" si="4"/>
        <v>0</v>
      </c>
      <c r="E64" s="12"/>
    </row>
    <row r="65" spans="1:5" ht="27.75" customHeight="1" x14ac:dyDescent="0.25">
      <c r="A65" s="2">
        <v>50</v>
      </c>
      <c r="B65" s="3" t="s">
        <v>293</v>
      </c>
      <c r="C65" s="11"/>
      <c r="D65" s="2">
        <f t="shared" si="4"/>
        <v>0</v>
      </c>
      <c r="E65" s="12"/>
    </row>
    <row r="66" spans="1:5" x14ac:dyDescent="0.25">
      <c r="A66" s="38" t="s">
        <v>185</v>
      </c>
      <c r="B66" s="38"/>
      <c r="C66" s="38"/>
      <c r="D66" s="15">
        <f>SUM(D56:D65)</f>
        <v>0</v>
      </c>
      <c r="E66" s="16"/>
    </row>
    <row r="67" spans="1:5" x14ac:dyDescent="0.25">
      <c r="A67" s="39" t="s">
        <v>186</v>
      </c>
      <c r="B67" s="39"/>
      <c r="C67" s="39"/>
      <c r="D67" s="17">
        <f>D18+D30+D42+D54+D66</f>
        <v>0</v>
      </c>
      <c r="E67" s="10"/>
    </row>
    <row r="68" spans="1:5" x14ac:dyDescent="0.25">
      <c r="A68" s="40" t="s">
        <v>187</v>
      </c>
      <c r="B68" s="40"/>
      <c r="C68" s="40"/>
      <c r="D68" s="18">
        <f>D67/100</f>
        <v>0</v>
      </c>
      <c r="E68" s="19"/>
    </row>
    <row r="69" spans="1:5" x14ac:dyDescent="0.25">
      <c r="A69" s="40" t="s">
        <v>188</v>
      </c>
      <c r="B69" s="40"/>
      <c r="C69" s="40"/>
      <c r="D69" s="21" t="str">
        <f>IF(D68&gt;=0.9,"Outstanding",IF(D68&gt;=0.75,"On Track",IF(D68&gt;=0.6,"Improving","Needs Support")))</f>
        <v>Needs Support</v>
      </c>
      <c r="E69" s="19"/>
    </row>
    <row r="71" spans="1:5" x14ac:dyDescent="0.25">
      <c r="A71" s="36" t="s">
        <v>189</v>
      </c>
      <c r="B71" s="36"/>
      <c r="C71" s="36"/>
      <c r="D71" s="36"/>
      <c r="E71" s="36"/>
    </row>
    <row r="73" spans="1:5" x14ac:dyDescent="0.25">
      <c r="B73" s="20" t="s">
        <v>190</v>
      </c>
      <c r="E73" s="20" t="s">
        <v>191</v>
      </c>
    </row>
    <row r="74" spans="1:5" x14ac:dyDescent="0.25">
      <c r="A74" s="22" t="s">
        <v>595</v>
      </c>
    </row>
  </sheetData>
  <mergeCells count="16">
    <mergeCell ref="A1:E1"/>
    <mergeCell ref="E2:E4"/>
    <mergeCell ref="A7:E7"/>
    <mergeCell ref="A18:C18"/>
    <mergeCell ref="A19:E19"/>
    <mergeCell ref="A30:C30"/>
    <mergeCell ref="A31:E31"/>
    <mergeCell ref="A42:C42"/>
    <mergeCell ref="A43:E43"/>
    <mergeCell ref="A54:C54"/>
    <mergeCell ref="A71:E71"/>
    <mergeCell ref="A55:E55"/>
    <mergeCell ref="A66:C66"/>
    <mergeCell ref="A67:C67"/>
    <mergeCell ref="A68:C68"/>
    <mergeCell ref="A69:C69"/>
  </mergeCells>
  <dataValidations count="1">
    <dataValidation type="list" allowBlank="1" showErrorMessage="1" errorTitle="Invalid entry" error="Please select Yes or No" sqref="C8:C17 C20:C29 C32:C41 C44:C53 C56:C65" xr:uid="{00000000-0002-0000-0600-000000000000}">
      <formula1>"Yes,No"</formula1>
      <formula2>0</formula2>
    </dataValidation>
  </dataValidations>
  <pageMargins left="0.75" right="0.75" top="1" bottom="1" header="0.511811023622047" footer="0.511811023622047"/>
  <pageSetup fitToHeight="0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E74"/>
  <sheetViews>
    <sheetView showGridLines="0" topLeftCell="A61" zoomScaleNormal="100" workbookViewId="0">
      <selection activeCell="A74" sqref="A74"/>
    </sheetView>
  </sheetViews>
  <sheetFormatPr defaultColWidth="8.5703125" defaultRowHeight="15" x14ac:dyDescent="0.25"/>
  <cols>
    <col min="1" max="1" width="6" customWidth="1"/>
    <col min="2" max="2" width="68" customWidth="1"/>
    <col min="3" max="3" width="12" customWidth="1"/>
    <col min="4" max="4" width="9" customWidth="1"/>
    <col min="5" max="5" width="32" customWidth="1"/>
  </cols>
  <sheetData>
    <row r="1" spans="1:5" ht="25.5" customHeight="1" x14ac:dyDescent="0.25">
      <c r="A1" s="29" t="s">
        <v>294</v>
      </c>
      <c r="B1" s="29"/>
      <c r="C1" s="29"/>
      <c r="D1" s="29"/>
      <c r="E1" s="29"/>
    </row>
    <row r="2" spans="1:5" ht="15" customHeight="1" x14ac:dyDescent="0.25">
      <c r="A2" s="14" t="s">
        <v>120</v>
      </c>
      <c r="B2" s="13"/>
      <c r="C2" s="14" t="s">
        <v>121</v>
      </c>
      <c r="D2" s="13"/>
      <c r="E2" s="41" t="s">
        <v>122</v>
      </c>
    </row>
    <row r="3" spans="1:5" x14ac:dyDescent="0.25">
      <c r="A3" s="14" t="s">
        <v>123</v>
      </c>
      <c r="B3" s="13" t="s">
        <v>115</v>
      </c>
      <c r="C3" s="14" t="s">
        <v>124</v>
      </c>
      <c r="D3" s="13"/>
      <c r="E3" s="41"/>
    </row>
    <row r="4" spans="1:5" x14ac:dyDescent="0.25">
      <c r="A4" s="14" t="s">
        <v>125</v>
      </c>
      <c r="B4" s="13"/>
      <c r="C4" s="14" t="s">
        <v>126</v>
      </c>
      <c r="D4" s="13"/>
      <c r="E4" s="41"/>
    </row>
    <row r="6" spans="1:5" ht="19.5" customHeight="1" x14ac:dyDescent="0.25">
      <c r="A6" s="1" t="s">
        <v>2</v>
      </c>
      <c r="B6" s="1" t="s">
        <v>109</v>
      </c>
      <c r="C6" s="1" t="s">
        <v>110</v>
      </c>
      <c r="D6" s="1" t="s">
        <v>111</v>
      </c>
      <c r="E6" s="1" t="s">
        <v>112</v>
      </c>
    </row>
    <row r="7" spans="1:5" x14ac:dyDescent="0.25">
      <c r="A7" s="37" t="s">
        <v>127</v>
      </c>
      <c r="B7" s="37"/>
      <c r="C7" s="37"/>
      <c r="D7" s="37"/>
      <c r="E7" s="37"/>
    </row>
    <row r="8" spans="1:5" ht="27.75" customHeight="1" x14ac:dyDescent="0.25">
      <c r="A8" s="2">
        <v>1</v>
      </c>
      <c r="B8" s="3" t="s">
        <v>295</v>
      </c>
      <c r="C8" s="11"/>
      <c r="D8" s="2">
        <f t="shared" ref="D8:D17" si="0">IF(C8="Yes",2,0)</f>
        <v>0</v>
      </c>
      <c r="E8" s="12"/>
    </row>
    <row r="9" spans="1:5" ht="27.75" customHeight="1" x14ac:dyDescent="0.25">
      <c r="A9" s="2">
        <v>2</v>
      </c>
      <c r="B9" s="3" t="s">
        <v>296</v>
      </c>
      <c r="C9" s="11"/>
      <c r="D9" s="2">
        <f t="shared" si="0"/>
        <v>0</v>
      </c>
      <c r="E9" s="12"/>
    </row>
    <row r="10" spans="1:5" ht="27.75" customHeight="1" x14ac:dyDescent="0.25">
      <c r="A10" s="2">
        <v>3</v>
      </c>
      <c r="B10" s="3" t="s">
        <v>297</v>
      </c>
      <c r="C10" s="11"/>
      <c r="D10" s="2">
        <f t="shared" si="0"/>
        <v>0</v>
      </c>
      <c r="E10" s="12"/>
    </row>
    <row r="11" spans="1:5" ht="27.75" customHeight="1" x14ac:dyDescent="0.25">
      <c r="A11" s="2">
        <v>4</v>
      </c>
      <c r="B11" s="3" t="s">
        <v>298</v>
      </c>
      <c r="C11" s="11"/>
      <c r="D11" s="2">
        <f t="shared" si="0"/>
        <v>0</v>
      </c>
      <c r="E11" s="12"/>
    </row>
    <row r="12" spans="1:5" ht="27.75" customHeight="1" x14ac:dyDescent="0.25">
      <c r="A12" s="2">
        <v>5</v>
      </c>
      <c r="B12" s="3" t="s">
        <v>299</v>
      </c>
      <c r="C12" s="11"/>
      <c r="D12" s="2">
        <f t="shared" si="0"/>
        <v>0</v>
      </c>
      <c r="E12" s="12"/>
    </row>
    <row r="13" spans="1:5" ht="27.75" customHeight="1" x14ac:dyDescent="0.25">
      <c r="A13" s="2">
        <v>6</v>
      </c>
      <c r="B13" s="3" t="s">
        <v>300</v>
      </c>
      <c r="C13" s="11"/>
      <c r="D13" s="2">
        <f t="shared" si="0"/>
        <v>0</v>
      </c>
      <c r="E13" s="12"/>
    </row>
    <row r="14" spans="1:5" ht="27.75" customHeight="1" x14ac:dyDescent="0.25">
      <c r="A14" s="2">
        <v>7</v>
      </c>
      <c r="B14" s="3" t="s">
        <v>301</v>
      </c>
      <c r="C14" s="11"/>
      <c r="D14" s="2">
        <f t="shared" si="0"/>
        <v>0</v>
      </c>
      <c r="E14" s="12"/>
    </row>
    <row r="15" spans="1:5" ht="27.75" customHeight="1" x14ac:dyDescent="0.25">
      <c r="A15" s="2">
        <v>8</v>
      </c>
      <c r="B15" s="3" t="s">
        <v>302</v>
      </c>
      <c r="C15" s="11"/>
      <c r="D15" s="2">
        <f t="shared" si="0"/>
        <v>0</v>
      </c>
      <c r="E15" s="12"/>
    </row>
    <row r="16" spans="1:5" ht="27.75" customHeight="1" x14ac:dyDescent="0.25">
      <c r="A16" s="2">
        <v>9</v>
      </c>
      <c r="B16" s="3" t="s">
        <v>303</v>
      </c>
      <c r="C16" s="11"/>
      <c r="D16" s="2">
        <f t="shared" si="0"/>
        <v>0</v>
      </c>
      <c r="E16" s="12"/>
    </row>
    <row r="17" spans="1:5" ht="27.75" customHeight="1" x14ac:dyDescent="0.25">
      <c r="A17" s="2">
        <v>10</v>
      </c>
      <c r="B17" s="3" t="s">
        <v>304</v>
      </c>
      <c r="C17" s="11"/>
      <c r="D17" s="2">
        <f t="shared" si="0"/>
        <v>0</v>
      </c>
      <c r="E17" s="12"/>
    </row>
    <row r="18" spans="1:5" x14ac:dyDescent="0.25">
      <c r="A18" s="38" t="s">
        <v>137</v>
      </c>
      <c r="B18" s="38"/>
      <c r="C18" s="38"/>
      <c r="D18" s="15">
        <f>SUM(D8:D17)</f>
        <v>0</v>
      </c>
      <c r="E18" s="16"/>
    </row>
    <row r="19" spans="1:5" x14ac:dyDescent="0.25">
      <c r="A19" s="37" t="s">
        <v>138</v>
      </c>
      <c r="B19" s="37"/>
      <c r="C19" s="37"/>
      <c r="D19" s="37"/>
      <c r="E19" s="37"/>
    </row>
    <row r="20" spans="1:5" ht="27.75" customHeight="1" x14ac:dyDescent="0.25">
      <c r="A20" s="2">
        <v>11</v>
      </c>
      <c r="B20" s="3" t="s">
        <v>305</v>
      </c>
      <c r="C20" s="11"/>
      <c r="D20" s="2">
        <f t="shared" ref="D20:D29" si="1">IF(C20="Yes",2,0)</f>
        <v>0</v>
      </c>
      <c r="E20" s="12"/>
    </row>
    <row r="21" spans="1:5" ht="27.75" customHeight="1" x14ac:dyDescent="0.25">
      <c r="A21" s="2">
        <v>12</v>
      </c>
      <c r="B21" s="3" t="s">
        <v>306</v>
      </c>
      <c r="C21" s="11"/>
      <c r="D21" s="2">
        <f t="shared" si="1"/>
        <v>0</v>
      </c>
      <c r="E21" s="12"/>
    </row>
    <row r="22" spans="1:5" ht="27.75" customHeight="1" x14ac:dyDescent="0.25">
      <c r="A22" s="2">
        <v>13</v>
      </c>
      <c r="B22" s="3" t="s">
        <v>307</v>
      </c>
      <c r="C22" s="11"/>
      <c r="D22" s="2">
        <f t="shared" si="1"/>
        <v>0</v>
      </c>
      <c r="E22" s="12"/>
    </row>
    <row r="23" spans="1:5" ht="27.75" customHeight="1" x14ac:dyDescent="0.25">
      <c r="A23" s="2">
        <v>14</v>
      </c>
      <c r="B23" s="3" t="s">
        <v>308</v>
      </c>
      <c r="C23" s="11"/>
      <c r="D23" s="2">
        <f t="shared" si="1"/>
        <v>0</v>
      </c>
      <c r="E23" s="12"/>
    </row>
    <row r="24" spans="1:5" ht="27.75" customHeight="1" x14ac:dyDescent="0.25">
      <c r="A24" s="2">
        <v>15</v>
      </c>
      <c r="B24" s="3" t="s">
        <v>309</v>
      </c>
      <c r="C24" s="11"/>
      <c r="D24" s="2">
        <f t="shared" si="1"/>
        <v>0</v>
      </c>
      <c r="E24" s="12"/>
    </row>
    <row r="25" spans="1:5" ht="27.75" customHeight="1" x14ac:dyDescent="0.25">
      <c r="A25" s="2">
        <v>16</v>
      </c>
      <c r="B25" s="3" t="s">
        <v>310</v>
      </c>
      <c r="C25" s="11"/>
      <c r="D25" s="2">
        <f t="shared" si="1"/>
        <v>0</v>
      </c>
      <c r="E25" s="12"/>
    </row>
    <row r="26" spans="1:5" ht="27.75" customHeight="1" x14ac:dyDescent="0.25">
      <c r="A26" s="2">
        <v>17</v>
      </c>
      <c r="B26" s="3" t="s">
        <v>311</v>
      </c>
      <c r="C26" s="11"/>
      <c r="D26" s="2">
        <f t="shared" si="1"/>
        <v>0</v>
      </c>
      <c r="E26" s="12"/>
    </row>
    <row r="27" spans="1:5" ht="27.75" customHeight="1" x14ac:dyDescent="0.25">
      <c r="A27" s="2">
        <v>18</v>
      </c>
      <c r="B27" s="3" t="s">
        <v>312</v>
      </c>
      <c r="C27" s="11"/>
      <c r="D27" s="2">
        <f t="shared" si="1"/>
        <v>0</v>
      </c>
      <c r="E27" s="12"/>
    </row>
    <row r="28" spans="1:5" ht="27.75" customHeight="1" x14ac:dyDescent="0.25">
      <c r="A28" s="2">
        <v>19</v>
      </c>
      <c r="B28" s="3" t="s">
        <v>313</v>
      </c>
      <c r="C28" s="11"/>
      <c r="D28" s="2">
        <f t="shared" si="1"/>
        <v>0</v>
      </c>
      <c r="E28" s="12"/>
    </row>
    <row r="29" spans="1:5" ht="27.75" customHeight="1" x14ac:dyDescent="0.25">
      <c r="A29" s="2">
        <v>20</v>
      </c>
      <c r="B29" s="3" t="s">
        <v>314</v>
      </c>
      <c r="C29" s="11"/>
      <c r="D29" s="2">
        <f t="shared" si="1"/>
        <v>0</v>
      </c>
      <c r="E29" s="12"/>
    </row>
    <row r="30" spans="1:5" x14ac:dyDescent="0.25">
      <c r="A30" s="38" t="s">
        <v>149</v>
      </c>
      <c r="B30" s="38"/>
      <c r="C30" s="38"/>
      <c r="D30" s="15">
        <f>SUM(D20:D29)</f>
        <v>0</v>
      </c>
      <c r="E30" s="16"/>
    </row>
    <row r="31" spans="1:5" x14ac:dyDescent="0.25">
      <c r="A31" s="37" t="s">
        <v>150</v>
      </c>
      <c r="B31" s="37"/>
      <c r="C31" s="37"/>
      <c r="D31" s="37"/>
      <c r="E31" s="37"/>
    </row>
    <row r="32" spans="1:5" ht="27.75" customHeight="1" x14ac:dyDescent="0.25">
      <c r="A32" s="2">
        <v>21</v>
      </c>
      <c r="B32" s="3" t="s">
        <v>315</v>
      </c>
      <c r="C32" s="11"/>
      <c r="D32" s="2">
        <f t="shared" ref="D32:D41" si="2">IF(C32="Yes",2,0)</f>
        <v>0</v>
      </c>
      <c r="E32" s="12"/>
    </row>
    <row r="33" spans="1:5" ht="27.75" customHeight="1" x14ac:dyDescent="0.25">
      <c r="A33" s="2">
        <v>22</v>
      </c>
      <c r="B33" s="3" t="s">
        <v>316</v>
      </c>
      <c r="C33" s="11"/>
      <c r="D33" s="2">
        <f t="shared" si="2"/>
        <v>0</v>
      </c>
      <c r="E33" s="12"/>
    </row>
    <row r="34" spans="1:5" ht="27.75" customHeight="1" x14ac:dyDescent="0.25">
      <c r="A34" s="2">
        <v>23</v>
      </c>
      <c r="B34" s="3" t="s">
        <v>317</v>
      </c>
      <c r="C34" s="11"/>
      <c r="D34" s="2">
        <f t="shared" si="2"/>
        <v>0</v>
      </c>
      <c r="E34" s="12"/>
    </row>
    <row r="35" spans="1:5" ht="27.75" customHeight="1" x14ac:dyDescent="0.25">
      <c r="A35" s="2">
        <v>24</v>
      </c>
      <c r="B35" s="3" t="s">
        <v>318</v>
      </c>
      <c r="C35" s="11"/>
      <c r="D35" s="2">
        <f t="shared" si="2"/>
        <v>0</v>
      </c>
      <c r="E35" s="12"/>
    </row>
    <row r="36" spans="1:5" ht="27.75" customHeight="1" x14ac:dyDescent="0.25">
      <c r="A36" s="2">
        <v>25</v>
      </c>
      <c r="B36" s="3" t="s">
        <v>319</v>
      </c>
      <c r="C36" s="11"/>
      <c r="D36" s="2">
        <f t="shared" si="2"/>
        <v>0</v>
      </c>
      <c r="E36" s="12"/>
    </row>
    <row r="37" spans="1:5" ht="27.75" customHeight="1" x14ac:dyDescent="0.25">
      <c r="A37" s="2">
        <v>26</v>
      </c>
      <c r="B37" s="3" t="s">
        <v>320</v>
      </c>
      <c r="C37" s="11"/>
      <c r="D37" s="2">
        <f t="shared" si="2"/>
        <v>0</v>
      </c>
      <c r="E37" s="12"/>
    </row>
    <row r="38" spans="1:5" ht="27.75" customHeight="1" x14ac:dyDescent="0.25">
      <c r="A38" s="2">
        <v>27</v>
      </c>
      <c r="B38" s="3" t="s">
        <v>321</v>
      </c>
      <c r="C38" s="11"/>
      <c r="D38" s="2">
        <f t="shared" si="2"/>
        <v>0</v>
      </c>
      <c r="E38" s="12"/>
    </row>
    <row r="39" spans="1:5" ht="27.75" customHeight="1" x14ac:dyDescent="0.25">
      <c r="A39" s="2">
        <v>28</v>
      </c>
      <c r="B39" s="3" t="s">
        <v>322</v>
      </c>
      <c r="C39" s="11"/>
      <c r="D39" s="2">
        <f t="shared" si="2"/>
        <v>0</v>
      </c>
      <c r="E39" s="12"/>
    </row>
    <row r="40" spans="1:5" ht="27.75" customHeight="1" x14ac:dyDescent="0.25">
      <c r="A40" s="2">
        <v>29</v>
      </c>
      <c r="B40" s="3" t="s">
        <v>323</v>
      </c>
      <c r="C40" s="11"/>
      <c r="D40" s="2">
        <f t="shared" si="2"/>
        <v>0</v>
      </c>
      <c r="E40" s="12"/>
    </row>
    <row r="41" spans="1:5" ht="27.75" customHeight="1" x14ac:dyDescent="0.25">
      <c r="A41" s="2">
        <v>30</v>
      </c>
      <c r="B41" s="3" t="s">
        <v>324</v>
      </c>
      <c r="C41" s="11"/>
      <c r="D41" s="2">
        <f t="shared" si="2"/>
        <v>0</v>
      </c>
      <c r="E41" s="12"/>
    </row>
    <row r="42" spans="1:5" x14ac:dyDescent="0.25">
      <c r="A42" s="38" t="s">
        <v>161</v>
      </c>
      <c r="B42" s="38"/>
      <c r="C42" s="38"/>
      <c r="D42" s="15">
        <f>SUM(D32:D41)</f>
        <v>0</v>
      </c>
      <c r="E42" s="16"/>
    </row>
    <row r="43" spans="1:5" x14ac:dyDescent="0.25">
      <c r="A43" s="37" t="s">
        <v>162</v>
      </c>
      <c r="B43" s="37"/>
      <c r="C43" s="37"/>
      <c r="D43" s="37"/>
      <c r="E43" s="37"/>
    </row>
    <row r="44" spans="1:5" ht="27.75" customHeight="1" x14ac:dyDescent="0.25">
      <c r="A44" s="2">
        <v>31</v>
      </c>
      <c r="B44" s="3" t="s">
        <v>325</v>
      </c>
      <c r="C44" s="11"/>
      <c r="D44" s="2">
        <f t="shared" ref="D44:D53" si="3">IF(C44="Yes",2,0)</f>
        <v>0</v>
      </c>
      <c r="E44" s="12"/>
    </row>
    <row r="45" spans="1:5" ht="27.75" customHeight="1" x14ac:dyDescent="0.25">
      <c r="A45" s="2">
        <v>32</v>
      </c>
      <c r="B45" s="3" t="s">
        <v>326</v>
      </c>
      <c r="C45" s="11"/>
      <c r="D45" s="2">
        <f t="shared" si="3"/>
        <v>0</v>
      </c>
      <c r="E45" s="12"/>
    </row>
    <row r="46" spans="1:5" ht="27.75" customHeight="1" x14ac:dyDescent="0.25">
      <c r="A46" s="2">
        <v>33</v>
      </c>
      <c r="B46" s="3" t="s">
        <v>327</v>
      </c>
      <c r="C46" s="11"/>
      <c r="D46" s="2">
        <f t="shared" si="3"/>
        <v>0</v>
      </c>
      <c r="E46" s="12"/>
    </row>
    <row r="47" spans="1:5" ht="27.75" customHeight="1" x14ac:dyDescent="0.25">
      <c r="A47" s="2">
        <v>34</v>
      </c>
      <c r="B47" s="3" t="s">
        <v>328</v>
      </c>
      <c r="C47" s="11"/>
      <c r="D47" s="2">
        <f t="shared" si="3"/>
        <v>0</v>
      </c>
      <c r="E47" s="12"/>
    </row>
    <row r="48" spans="1:5" ht="27.75" customHeight="1" x14ac:dyDescent="0.25">
      <c r="A48" s="2">
        <v>35</v>
      </c>
      <c r="B48" s="3" t="s">
        <v>329</v>
      </c>
      <c r="C48" s="11"/>
      <c r="D48" s="2">
        <f t="shared" si="3"/>
        <v>0</v>
      </c>
      <c r="E48" s="12"/>
    </row>
    <row r="49" spans="1:5" ht="27.75" customHeight="1" x14ac:dyDescent="0.25">
      <c r="A49" s="2">
        <v>36</v>
      </c>
      <c r="B49" s="3" t="s">
        <v>330</v>
      </c>
      <c r="C49" s="11"/>
      <c r="D49" s="2">
        <f t="shared" si="3"/>
        <v>0</v>
      </c>
      <c r="E49" s="12"/>
    </row>
    <row r="50" spans="1:5" ht="27.75" customHeight="1" x14ac:dyDescent="0.25">
      <c r="A50" s="2">
        <v>37</v>
      </c>
      <c r="B50" s="3" t="s">
        <v>331</v>
      </c>
      <c r="C50" s="11"/>
      <c r="D50" s="2">
        <f t="shared" si="3"/>
        <v>0</v>
      </c>
      <c r="E50" s="12"/>
    </row>
    <row r="51" spans="1:5" ht="27.75" customHeight="1" x14ac:dyDescent="0.25">
      <c r="A51" s="2">
        <v>38</v>
      </c>
      <c r="B51" s="3" t="s">
        <v>332</v>
      </c>
      <c r="C51" s="11"/>
      <c r="D51" s="2">
        <f t="shared" si="3"/>
        <v>0</v>
      </c>
      <c r="E51" s="12"/>
    </row>
    <row r="52" spans="1:5" ht="27.75" customHeight="1" x14ac:dyDescent="0.25">
      <c r="A52" s="2">
        <v>39</v>
      </c>
      <c r="B52" s="3" t="s">
        <v>333</v>
      </c>
      <c r="C52" s="11"/>
      <c r="D52" s="2">
        <f t="shared" si="3"/>
        <v>0</v>
      </c>
      <c r="E52" s="12"/>
    </row>
    <row r="53" spans="1:5" ht="27.75" customHeight="1" x14ac:dyDescent="0.25">
      <c r="A53" s="2">
        <v>40</v>
      </c>
      <c r="B53" s="3" t="s">
        <v>334</v>
      </c>
      <c r="C53" s="11"/>
      <c r="D53" s="2">
        <f t="shared" si="3"/>
        <v>0</v>
      </c>
      <c r="E53" s="12"/>
    </row>
    <row r="54" spans="1:5" x14ac:dyDescent="0.25">
      <c r="A54" s="38" t="s">
        <v>173</v>
      </c>
      <c r="B54" s="38"/>
      <c r="C54" s="38"/>
      <c r="D54" s="15">
        <f>SUM(D44:D53)</f>
        <v>0</v>
      </c>
      <c r="E54" s="16"/>
    </row>
    <row r="55" spans="1:5" x14ac:dyDescent="0.25">
      <c r="A55" s="37" t="s">
        <v>174</v>
      </c>
      <c r="B55" s="37"/>
      <c r="C55" s="37"/>
      <c r="D55" s="37"/>
      <c r="E55" s="37"/>
    </row>
    <row r="56" spans="1:5" ht="27.75" customHeight="1" x14ac:dyDescent="0.25">
      <c r="A56" s="2">
        <v>41</v>
      </c>
      <c r="B56" s="3" t="s">
        <v>335</v>
      </c>
      <c r="C56" s="11"/>
      <c r="D56" s="2">
        <f t="shared" ref="D56:D65" si="4">IF(C56="Yes",2,0)</f>
        <v>0</v>
      </c>
      <c r="E56" s="12"/>
    </row>
    <row r="57" spans="1:5" ht="27.75" customHeight="1" x14ac:dyDescent="0.25">
      <c r="A57" s="2">
        <v>42</v>
      </c>
      <c r="B57" s="3" t="s">
        <v>336</v>
      </c>
      <c r="C57" s="11"/>
      <c r="D57" s="2">
        <f t="shared" si="4"/>
        <v>0</v>
      </c>
      <c r="E57" s="12"/>
    </row>
    <row r="58" spans="1:5" ht="27.75" customHeight="1" x14ac:dyDescent="0.25">
      <c r="A58" s="2">
        <v>43</v>
      </c>
      <c r="B58" s="3" t="s">
        <v>337</v>
      </c>
      <c r="C58" s="11"/>
      <c r="D58" s="2">
        <f t="shared" si="4"/>
        <v>0</v>
      </c>
      <c r="E58" s="12"/>
    </row>
    <row r="59" spans="1:5" ht="27.75" customHeight="1" x14ac:dyDescent="0.25">
      <c r="A59" s="2">
        <v>44</v>
      </c>
      <c r="B59" s="3" t="s">
        <v>338</v>
      </c>
      <c r="C59" s="11"/>
      <c r="D59" s="2">
        <f t="shared" si="4"/>
        <v>0</v>
      </c>
      <c r="E59" s="12"/>
    </row>
    <row r="60" spans="1:5" ht="27.75" customHeight="1" x14ac:dyDescent="0.25">
      <c r="A60" s="2">
        <v>45</v>
      </c>
      <c r="B60" s="3" t="s">
        <v>339</v>
      </c>
      <c r="C60" s="11"/>
      <c r="D60" s="2">
        <f t="shared" si="4"/>
        <v>0</v>
      </c>
      <c r="E60" s="12"/>
    </row>
    <row r="61" spans="1:5" ht="27.75" customHeight="1" x14ac:dyDescent="0.25">
      <c r="A61" s="2">
        <v>46</v>
      </c>
      <c r="B61" s="3" t="s">
        <v>340</v>
      </c>
      <c r="C61" s="11"/>
      <c r="D61" s="2">
        <f t="shared" si="4"/>
        <v>0</v>
      </c>
      <c r="E61" s="12"/>
    </row>
    <row r="62" spans="1:5" ht="27.75" customHeight="1" x14ac:dyDescent="0.25">
      <c r="A62" s="2">
        <v>47</v>
      </c>
      <c r="B62" s="3" t="s">
        <v>341</v>
      </c>
      <c r="C62" s="11"/>
      <c r="D62" s="2">
        <f t="shared" si="4"/>
        <v>0</v>
      </c>
      <c r="E62" s="12"/>
    </row>
    <row r="63" spans="1:5" ht="27.75" customHeight="1" x14ac:dyDescent="0.25">
      <c r="A63" s="2">
        <v>48</v>
      </c>
      <c r="B63" s="3" t="s">
        <v>342</v>
      </c>
      <c r="C63" s="11"/>
      <c r="D63" s="2">
        <f t="shared" si="4"/>
        <v>0</v>
      </c>
      <c r="E63" s="12"/>
    </row>
    <row r="64" spans="1:5" ht="27.75" customHeight="1" x14ac:dyDescent="0.25">
      <c r="A64" s="2">
        <v>49</v>
      </c>
      <c r="B64" s="3" t="s">
        <v>343</v>
      </c>
      <c r="C64" s="11"/>
      <c r="D64" s="2">
        <f t="shared" si="4"/>
        <v>0</v>
      </c>
      <c r="E64" s="12"/>
    </row>
    <row r="65" spans="1:5" ht="27.75" customHeight="1" x14ac:dyDescent="0.25">
      <c r="A65" s="2">
        <v>50</v>
      </c>
      <c r="B65" s="3" t="s">
        <v>344</v>
      </c>
      <c r="C65" s="11"/>
      <c r="D65" s="2">
        <f t="shared" si="4"/>
        <v>0</v>
      </c>
      <c r="E65" s="12"/>
    </row>
    <row r="66" spans="1:5" x14ac:dyDescent="0.25">
      <c r="A66" s="38" t="s">
        <v>185</v>
      </c>
      <c r="B66" s="38"/>
      <c r="C66" s="38"/>
      <c r="D66" s="15">
        <f>SUM(D56:D65)</f>
        <v>0</v>
      </c>
      <c r="E66" s="16"/>
    </row>
    <row r="67" spans="1:5" x14ac:dyDescent="0.25">
      <c r="A67" s="39" t="s">
        <v>186</v>
      </c>
      <c r="B67" s="39"/>
      <c r="C67" s="39"/>
      <c r="D67" s="17">
        <f>D18+D30+D42+D54+D66</f>
        <v>0</v>
      </c>
      <c r="E67" s="10"/>
    </row>
    <row r="68" spans="1:5" x14ac:dyDescent="0.25">
      <c r="A68" s="40" t="s">
        <v>187</v>
      </c>
      <c r="B68" s="40"/>
      <c r="C68" s="40"/>
      <c r="D68" s="18">
        <f>D67/100</f>
        <v>0</v>
      </c>
      <c r="E68" s="19"/>
    </row>
    <row r="69" spans="1:5" x14ac:dyDescent="0.25">
      <c r="A69" s="40" t="s">
        <v>188</v>
      </c>
      <c r="B69" s="40"/>
      <c r="C69" s="40"/>
      <c r="D69" s="21" t="str">
        <f>IF(D68&gt;=0.9,"Outstanding",IF(D68&gt;=0.75,"On Track",IF(D68&gt;=0.6,"Improving","Needs Support")))</f>
        <v>Needs Support</v>
      </c>
      <c r="E69" s="19"/>
    </row>
    <row r="71" spans="1:5" x14ac:dyDescent="0.25">
      <c r="A71" s="36" t="s">
        <v>189</v>
      </c>
      <c r="B71" s="36"/>
      <c r="C71" s="36"/>
      <c r="D71" s="36"/>
      <c r="E71" s="36"/>
    </row>
    <row r="73" spans="1:5" x14ac:dyDescent="0.25">
      <c r="B73" s="20" t="s">
        <v>190</v>
      </c>
      <c r="E73" s="20" t="s">
        <v>191</v>
      </c>
    </row>
    <row r="74" spans="1:5" x14ac:dyDescent="0.25">
      <c r="A74" s="22" t="s">
        <v>595</v>
      </c>
    </row>
  </sheetData>
  <mergeCells count="16">
    <mergeCell ref="A1:E1"/>
    <mergeCell ref="E2:E4"/>
    <mergeCell ref="A7:E7"/>
    <mergeCell ref="A18:C18"/>
    <mergeCell ref="A19:E19"/>
    <mergeCell ref="A30:C30"/>
    <mergeCell ref="A31:E31"/>
    <mergeCell ref="A42:C42"/>
    <mergeCell ref="A43:E43"/>
    <mergeCell ref="A54:C54"/>
    <mergeCell ref="A71:E71"/>
    <mergeCell ref="A55:E55"/>
    <mergeCell ref="A66:C66"/>
    <mergeCell ref="A67:C67"/>
    <mergeCell ref="A68:C68"/>
    <mergeCell ref="A69:C69"/>
  </mergeCells>
  <dataValidations count="1">
    <dataValidation type="list" allowBlank="1" showErrorMessage="1" errorTitle="Invalid entry" error="Please select Yes or No" sqref="C8:C17 C20:C29 C32:C41 C44:C53 C56:C65" xr:uid="{00000000-0002-0000-0700-000000000000}">
      <formula1>"Yes,No"</formula1>
      <formula2>0</formula2>
    </dataValidation>
  </dataValidations>
  <pageMargins left="0.75" right="0.75" top="1" bottom="1" header="0.511811023622047" footer="0.511811023622047"/>
  <pageSetup fitToHeight="0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E74"/>
  <sheetViews>
    <sheetView showGridLines="0" topLeftCell="A64" zoomScaleNormal="100" workbookViewId="0">
      <selection activeCell="A74" sqref="A74"/>
    </sheetView>
  </sheetViews>
  <sheetFormatPr defaultColWidth="8.5703125" defaultRowHeight="15" x14ac:dyDescent="0.25"/>
  <cols>
    <col min="1" max="1" width="6" customWidth="1"/>
    <col min="2" max="2" width="68" customWidth="1"/>
    <col min="3" max="3" width="12" customWidth="1"/>
    <col min="4" max="4" width="9" customWidth="1"/>
    <col min="5" max="5" width="32" customWidth="1"/>
  </cols>
  <sheetData>
    <row r="1" spans="1:5" ht="25.5" customHeight="1" x14ac:dyDescent="0.25">
      <c r="A1" s="29" t="s">
        <v>345</v>
      </c>
      <c r="B1" s="29"/>
      <c r="C1" s="29"/>
      <c r="D1" s="29"/>
      <c r="E1" s="29"/>
    </row>
    <row r="2" spans="1:5" ht="15" customHeight="1" x14ac:dyDescent="0.25">
      <c r="A2" s="14" t="s">
        <v>120</v>
      </c>
      <c r="B2" s="13"/>
      <c r="C2" s="14" t="s">
        <v>121</v>
      </c>
      <c r="D2" s="13"/>
      <c r="E2" s="41" t="s">
        <v>122</v>
      </c>
    </row>
    <row r="3" spans="1:5" x14ac:dyDescent="0.25">
      <c r="A3" s="14" t="s">
        <v>123</v>
      </c>
      <c r="B3" s="13" t="s">
        <v>116</v>
      </c>
      <c r="C3" s="14" t="s">
        <v>124</v>
      </c>
      <c r="D3" s="13"/>
      <c r="E3" s="41"/>
    </row>
    <row r="4" spans="1:5" x14ac:dyDescent="0.25">
      <c r="A4" s="14" t="s">
        <v>125</v>
      </c>
      <c r="B4" s="13"/>
      <c r="C4" s="14" t="s">
        <v>126</v>
      </c>
      <c r="D4" s="13"/>
      <c r="E4" s="41"/>
    </row>
    <row r="6" spans="1:5" ht="19.5" customHeight="1" x14ac:dyDescent="0.25">
      <c r="A6" s="1" t="s">
        <v>2</v>
      </c>
      <c r="B6" s="1" t="s">
        <v>109</v>
      </c>
      <c r="C6" s="1" t="s">
        <v>110</v>
      </c>
      <c r="D6" s="1" t="s">
        <v>111</v>
      </c>
      <c r="E6" s="1" t="s">
        <v>112</v>
      </c>
    </row>
    <row r="7" spans="1:5" x14ac:dyDescent="0.25">
      <c r="A7" s="37" t="s">
        <v>127</v>
      </c>
      <c r="B7" s="37"/>
      <c r="C7" s="37"/>
      <c r="D7" s="37"/>
      <c r="E7" s="37"/>
    </row>
    <row r="8" spans="1:5" ht="27.75" customHeight="1" x14ac:dyDescent="0.25">
      <c r="A8" s="2">
        <v>1</v>
      </c>
      <c r="B8" s="3" t="s">
        <v>346</v>
      </c>
      <c r="C8" s="11"/>
      <c r="D8" s="2">
        <f t="shared" ref="D8:D17" si="0">IF(C8="Yes",2,0)</f>
        <v>0</v>
      </c>
      <c r="E8" s="12"/>
    </row>
    <row r="9" spans="1:5" ht="27.75" customHeight="1" x14ac:dyDescent="0.25">
      <c r="A9" s="2">
        <v>2</v>
      </c>
      <c r="B9" s="3" t="s">
        <v>347</v>
      </c>
      <c r="C9" s="11"/>
      <c r="D9" s="2">
        <f t="shared" si="0"/>
        <v>0</v>
      </c>
      <c r="E9" s="12"/>
    </row>
    <row r="10" spans="1:5" ht="27.75" customHeight="1" x14ac:dyDescent="0.25">
      <c r="A10" s="2">
        <v>3</v>
      </c>
      <c r="B10" s="3" t="s">
        <v>348</v>
      </c>
      <c r="C10" s="11"/>
      <c r="D10" s="2">
        <f t="shared" si="0"/>
        <v>0</v>
      </c>
      <c r="E10" s="12"/>
    </row>
    <row r="11" spans="1:5" ht="27.75" customHeight="1" x14ac:dyDescent="0.25">
      <c r="A11" s="2">
        <v>4</v>
      </c>
      <c r="B11" s="3" t="s">
        <v>349</v>
      </c>
      <c r="C11" s="11"/>
      <c r="D11" s="2">
        <f t="shared" si="0"/>
        <v>0</v>
      </c>
      <c r="E11" s="12"/>
    </row>
    <row r="12" spans="1:5" ht="27.75" customHeight="1" x14ac:dyDescent="0.25">
      <c r="A12" s="2">
        <v>5</v>
      </c>
      <c r="B12" s="3" t="s">
        <v>350</v>
      </c>
      <c r="C12" s="11"/>
      <c r="D12" s="2">
        <f t="shared" si="0"/>
        <v>0</v>
      </c>
      <c r="E12" s="12"/>
    </row>
    <row r="13" spans="1:5" ht="27.75" customHeight="1" x14ac:dyDescent="0.25">
      <c r="A13" s="2">
        <v>6</v>
      </c>
      <c r="B13" s="3" t="s">
        <v>351</v>
      </c>
      <c r="C13" s="11"/>
      <c r="D13" s="2">
        <f t="shared" si="0"/>
        <v>0</v>
      </c>
      <c r="E13" s="12"/>
    </row>
    <row r="14" spans="1:5" ht="27.75" customHeight="1" x14ac:dyDescent="0.25">
      <c r="A14" s="2">
        <v>7</v>
      </c>
      <c r="B14" s="3" t="s">
        <v>352</v>
      </c>
      <c r="C14" s="11"/>
      <c r="D14" s="2">
        <f t="shared" si="0"/>
        <v>0</v>
      </c>
      <c r="E14" s="12"/>
    </row>
    <row r="15" spans="1:5" ht="27.75" customHeight="1" x14ac:dyDescent="0.25">
      <c r="A15" s="2">
        <v>8</v>
      </c>
      <c r="B15" s="3" t="s">
        <v>353</v>
      </c>
      <c r="C15" s="11"/>
      <c r="D15" s="2">
        <f t="shared" si="0"/>
        <v>0</v>
      </c>
      <c r="E15" s="12"/>
    </row>
    <row r="16" spans="1:5" ht="27.75" customHeight="1" x14ac:dyDescent="0.25">
      <c r="A16" s="2">
        <v>9</v>
      </c>
      <c r="B16" s="3" t="s">
        <v>354</v>
      </c>
      <c r="C16" s="11"/>
      <c r="D16" s="2">
        <f t="shared" si="0"/>
        <v>0</v>
      </c>
      <c r="E16" s="12"/>
    </row>
    <row r="17" spans="1:5" ht="27.75" customHeight="1" x14ac:dyDescent="0.25">
      <c r="A17" s="2">
        <v>10</v>
      </c>
      <c r="B17" s="3" t="s">
        <v>355</v>
      </c>
      <c r="C17" s="11"/>
      <c r="D17" s="2">
        <f t="shared" si="0"/>
        <v>0</v>
      </c>
      <c r="E17" s="12"/>
    </row>
    <row r="18" spans="1:5" x14ac:dyDescent="0.25">
      <c r="A18" s="38" t="s">
        <v>137</v>
      </c>
      <c r="B18" s="38"/>
      <c r="C18" s="38"/>
      <c r="D18" s="15">
        <f>SUM(D8:D17)</f>
        <v>0</v>
      </c>
      <c r="E18" s="16"/>
    </row>
    <row r="19" spans="1:5" x14ac:dyDescent="0.25">
      <c r="A19" s="37" t="s">
        <v>138</v>
      </c>
      <c r="B19" s="37"/>
      <c r="C19" s="37"/>
      <c r="D19" s="37"/>
      <c r="E19" s="37"/>
    </row>
    <row r="20" spans="1:5" ht="27.75" customHeight="1" x14ac:dyDescent="0.25">
      <c r="A20" s="2">
        <v>11</v>
      </c>
      <c r="B20" s="3" t="s">
        <v>356</v>
      </c>
      <c r="C20" s="11"/>
      <c r="D20" s="2">
        <f t="shared" ref="D20:D29" si="1">IF(C20="Yes",2,0)</f>
        <v>0</v>
      </c>
      <c r="E20" s="12"/>
    </row>
    <row r="21" spans="1:5" ht="27.75" customHeight="1" x14ac:dyDescent="0.25">
      <c r="A21" s="2">
        <v>12</v>
      </c>
      <c r="B21" s="3" t="s">
        <v>357</v>
      </c>
      <c r="C21" s="11"/>
      <c r="D21" s="2">
        <f t="shared" si="1"/>
        <v>0</v>
      </c>
      <c r="E21" s="12"/>
    </row>
    <row r="22" spans="1:5" ht="27.75" customHeight="1" x14ac:dyDescent="0.25">
      <c r="A22" s="2">
        <v>13</v>
      </c>
      <c r="B22" s="3" t="s">
        <v>358</v>
      </c>
      <c r="C22" s="11"/>
      <c r="D22" s="2">
        <f t="shared" si="1"/>
        <v>0</v>
      </c>
      <c r="E22" s="12"/>
    </row>
    <row r="23" spans="1:5" ht="27.75" customHeight="1" x14ac:dyDescent="0.25">
      <c r="A23" s="2">
        <v>14</v>
      </c>
      <c r="B23" s="3" t="s">
        <v>359</v>
      </c>
      <c r="C23" s="11"/>
      <c r="D23" s="2">
        <f t="shared" si="1"/>
        <v>0</v>
      </c>
      <c r="E23" s="12"/>
    </row>
    <row r="24" spans="1:5" ht="27.75" customHeight="1" x14ac:dyDescent="0.25">
      <c r="A24" s="2">
        <v>15</v>
      </c>
      <c r="B24" s="3" t="s">
        <v>360</v>
      </c>
      <c r="C24" s="11"/>
      <c r="D24" s="2">
        <f t="shared" si="1"/>
        <v>0</v>
      </c>
      <c r="E24" s="12"/>
    </row>
    <row r="25" spans="1:5" ht="27.75" customHeight="1" x14ac:dyDescent="0.25">
      <c r="A25" s="2">
        <v>16</v>
      </c>
      <c r="B25" s="3" t="s">
        <v>361</v>
      </c>
      <c r="C25" s="11"/>
      <c r="D25" s="2">
        <f t="shared" si="1"/>
        <v>0</v>
      </c>
      <c r="E25" s="12"/>
    </row>
    <row r="26" spans="1:5" ht="27.75" customHeight="1" x14ac:dyDescent="0.25">
      <c r="A26" s="2">
        <v>17</v>
      </c>
      <c r="B26" s="3" t="s">
        <v>362</v>
      </c>
      <c r="C26" s="11"/>
      <c r="D26" s="2">
        <f t="shared" si="1"/>
        <v>0</v>
      </c>
      <c r="E26" s="12"/>
    </row>
    <row r="27" spans="1:5" ht="27.75" customHeight="1" x14ac:dyDescent="0.25">
      <c r="A27" s="2">
        <v>18</v>
      </c>
      <c r="B27" s="3" t="s">
        <v>363</v>
      </c>
      <c r="C27" s="11"/>
      <c r="D27" s="2">
        <f t="shared" si="1"/>
        <v>0</v>
      </c>
      <c r="E27" s="12"/>
    </row>
    <row r="28" spans="1:5" ht="27.75" customHeight="1" x14ac:dyDescent="0.25">
      <c r="A28" s="2">
        <v>19</v>
      </c>
      <c r="B28" s="3" t="s">
        <v>364</v>
      </c>
      <c r="C28" s="11"/>
      <c r="D28" s="2">
        <f t="shared" si="1"/>
        <v>0</v>
      </c>
      <c r="E28" s="12"/>
    </row>
    <row r="29" spans="1:5" ht="27.75" customHeight="1" x14ac:dyDescent="0.25">
      <c r="A29" s="2">
        <v>20</v>
      </c>
      <c r="B29" s="3" t="s">
        <v>365</v>
      </c>
      <c r="C29" s="11"/>
      <c r="D29" s="2">
        <f t="shared" si="1"/>
        <v>0</v>
      </c>
      <c r="E29" s="12"/>
    </row>
    <row r="30" spans="1:5" x14ac:dyDescent="0.25">
      <c r="A30" s="38" t="s">
        <v>149</v>
      </c>
      <c r="B30" s="38"/>
      <c r="C30" s="38"/>
      <c r="D30" s="15">
        <f>SUM(D20:D29)</f>
        <v>0</v>
      </c>
      <c r="E30" s="16"/>
    </row>
    <row r="31" spans="1:5" x14ac:dyDescent="0.25">
      <c r="A31" s="37" t="s">
        <v>150</v>
      </c>
      <c r="B31" s="37"/>
      <c r="C31" s="37"/>
      <c r="D31" s="37"/>
      <c r="E31" s="37"/>
    </row>
    <row r="32" spans="1:5" ht="27.75" customHeight="1" x14ac:dyDescent="0.25">
      <c r="A32" s="2">
        <v>21</v>
      </c>
      <c r="B32" s="3" t="s">
        <v>366</v>
      </c>
      <c r="C32" s="11"/>
      <c r="D32" s="2">
        <f t="shared" ref="D32:D41" si="2">IF(C32="Yes",2,0)</f>
        <v>0</v>
      </c>
      <c r="E32" s="12"/>
    </row>
    <row r="33" spans="1:5" ht="27.75" customHeight="1" x14ac:dyDescent="0.25">
      <c r="A33" s="2">
        <v>22</v>
      </c>
      <c r="B33" s="3" t="s">
        <v>367</v>
      </c>
      <c r="C33" s="11"/>
      <c r="D33" s="2">
        <f t="shared" si="2"/>
        <v>0</v>
      </c>
      <c r="E33" s="12"/>
    </row>
    <row r="34" spans="1:5" ht="27.75" customHeight="1" x14ac:dyDescent="0.25">
      <c r="A34" s="2">
        <v>23</v>
      </c>
      <c r="B34" s="3" t="s">
        <v>368</v>
      </c>
      <c r="C34" s="11"/>
      <c r="D34" s="2">
        <f t="shared" si="2"/>
        <v>0</v>
      </c>
      <c r="E34" s="12"/>
    </row>
    <row r="35" spans="1:5" ht="27.75" customHeight="1" x14ac:dyDescent="0.25">
      <c r="A35" s="2">
        <v>24</v>
      </c>
      <c r="B35" s="3" t="s">
        <v>369</v>
      </c>
      <c r="C35" s="11"/>
      <c r="D35" s="2">
        <f t="shared" si="2"/>
        <v>0</v>
      </c>
      <c r="E35" s="12"/>
    </row>
    <row r="36" spans="1:5" ht="27.75" customHeight="1" x14ac:dyDescent="0.25">
      <c r="A36" s="2">
        <v>25</v>
      </c>
      <c r="B36" s="3" t="s">
        <v>370</v>
      </c>
      <c r="C36" s="11"/>
      <c r="D36" s="2">
        <f t="shared" si="2"/>
        <v>0</v>
      </c>
      <c r="E36" s="12"/>
    </row>
    <row r="37" spans="1:5" ht="27.75" customHeight="1" x14ac:dyDescent="0.25">
      <c r="A37" s="2">
        <v>26</v>
      </c>
      <c r="B37" s="3" t="s">
        <v>371</v>
      </c>
      <c r="C37" s="11"/>
      <c r="D37" s="2">
        <f t="shared" si="2"/>
        <v>0</v>
      </c>
      <c r="E37" s="12"/>
    </row>
    <row r="38" spans="1:5" ht="27.75" customHeight="1" x14ac:dyDescent="0.25">
      <c r="A38" s="2">
        <v>27</v>
      </c>
      <c r="B38" s="3" t="s">
        <v>372</v>
      </c>
      <c r="C38" s="11"/>
      <c r="D38" s="2">
        <f t="shared" si="2"/>
        <v>0</v>
      </c>
      <c r="E38" s="12"/>
    </row>
    <row r="39" spans="1:5" ht="27.75" customHeight="1" x14ac:dyDescent="0.25">
      <c r="A39" s="2">
        <v>28</v>
      </c>
      <c r="B39" s="3" t="s">
        <v>373</v>
      </c>
      <c r="C39" s="11"/>
      <c r="D39" s="2">
        <f t="shared" si="2"/>
        <v>0</v>
      </c>
      <c r="E39" s="12"/>
    </row>
    <row r="40" spans="1:5" ht="27.75" customHeight="1" x14ac:dyDescent="0.25">
      <c r="A40" s="2">
        <v>29</v>
      </c>
      <c r="B40" s="3" t="s">
        <v>374</v>
      </c>
      <c r="C40" s="11"/>
      <c r="D40" s="2">
        <f t="shared" si="2"/>
        <v>0</v>
      </c>
      <c r="E40" s="12"/>
    </row>
    <row r="41" spans="1:5" ht="27.75" customHeight="1" x14ac:dyDescent="0.25">
      <c r="A41" s="2">
        <v>30</v>
      </c>
      <c r="B41" s="3" t="s">
        <v>375</v>
      </c>
      <c r="C41" s="11"/>
      <c r="D41" s="2">
        <f t="shared" si="2"/>
        <v>0</v>
      </c>
      <c r="E41" s="12"/>
    </row>
    <row r="42" spans="1:5" x14ac:dyDescent="0.25">
      <c r="A42" s="38" t="s">
        <v>161</v>
      </c>
      <c r="B42" s="38"/>
      <c r="C42" s="38"/>
      <c r="D42" s="15">
        <f>SUM(D32:D41)</f>
        <v>0</v>
      </c>
      <c r="E42" s="16"/>
    </row>
    <row r="43" spans="1:5" x14ac:dyDescent="0.25">
      <c r="A43" s="37" t="s">
        <v>162</v>
      </c>
      <c r="B43" s="37"/>
      <c r="C43" s="37"/>
      <c r="D43" s="37"/>
      <c r="E43" s="37"/>
    </row>
    <row r="44" spans="1:5" ht="27.75" customHeight="1" x14ac:dyDescent="0.25">
      <c r="A44" s="2">
        <v>31</v>
      </c>
      <c r="B44" s="3" t="s">
        <v>376</v>
      </c>
      <c r="C44" s="11"/>
      <c r="D44" s="2">
        <f t="shared" ref="D44:D53" si="3">IF(C44="Yes",2,0)</f>
        <v>0</v>
      </c>
      <c r="E44" s="12"/>
    </row>
    <row r="45" spans="1:5" ht="27.75" customHeight="1" x14ac:dyDescent="0.25">
      <c r="A45" s="2">
        <v>32</v>
      </c>
      <c r="B45" s="3" t="s">
        <v>377</v>
      </c>
      <c r="C45" s="11"/>
      <c r="D45" s="2">
        <f t="shared" si="3"/>
        <v>0</v>
      </c>
      <c r="E45" s="12"/>
    </row>
    <row r="46" spans="1:5" ht="27.75" customHeight="1" x14ac:dyDescent="0.25">
      <c r="A46" s="2">
        <v>33</v>
      </c>
      <c r="B46" s="3" t="s">
        <v>378</v>
      </c>
      <c r="C46" s="11"/>
      <c r="D46" s="2">
        <f t="shared" si="3"/>
        <v>0</v>
      </c>
      <c r="E46" s="12"/>
    </row>
    <row r="47" spans="1:5" ht="27.75" customHeight="1" x14ac:dyDescent="0.25">
      <c r="A47" s="2">
        <v>34</v>
      </c>
      <c r="B47" s="3" t="s">
        <v>379</v>
      </c>
      <c r="C47" s="11"/>
      <c r="D47" s="2">
        <f t="shared" si="3"/>
        <v>0</v>
      </c>
      <c r="E47" s="12"/>
    </row>
    <row r="48" spans="1:5" ht="27.75" customHeight="1" x14ac:dyDescent="0.25">
      <c r="A48" s="2">
        <v>35</v>
      </c>
      <c r="B48" s="3" t="s">
        <v>380</v>
      </c>
      <c r="C48" s="11"/>
      <c r="D48" s="2">
        <f t="shared" si="3"/>
        <v>0</v>
      </c>
      <c r="E48" s="12"/>
    </row>
    <row r="49" spans="1:5" ht="27.75" customHeight="1" x14ac:dyDescent="0.25">
      <c r="A49" s="2">
        <v>36</v>
      </c>
      <c r="B49" s="3" t="s">
        <v>381</v>
      </c>
      <c r="C49" s="11"/>
      <c r="D49" s="2">
        <f t="shared" si="3"/>
        <v>0</v>
      </c>
      <c r="E49" s="12"/>
    </row>
    <row r="50" spans="1:5" ht="27.75" customHeight="1" x14ac:dyDescent="0.25">
      <c r="A50" s="2">
        <v>37</v>
      </c>
      <c r="B50" s="3" t="s">
        <v>382</v>
      </c>
      <c r="C50" s="11"/>
      <c r="D50" s="2">
        <f t="shared" si="3"/>
        <v>0</v>
      </c>
      <c r="E50" s="12"/>
    </row>
    <row r="51" spans="1:5" ht="27.75" customHeight="1" x14ac:dyDescent="0.25">
      <c r="A51" s="2">
        <v>38</v>
      </c>
      <c r="B51" s="3" t="s">
        <v>383</v>
      </c>
      <c r="C51" s="11"/>
      <c r="D51" s="2">
        <f t="shared" si="3"/>
        <v>0</v>
      </c>
      <c r="E51" s="12"/>
    </row>
    <row r="52" spans="1:5" ht="27.75" customHeight="1" x14ac:dyDescent="0.25">
      <c r="A52" s="2">
        <v>39</v>
      </c>
      <c r="B52" s="3" t="s">
        <v>384</v>
      </c>
      <c r="C52" s="11"/>
      <c r="D52" s="2">
        <f t="shared" si="3"/>
        <v>0</v>
      </c>
      <c r="E52" s="12"/>
    </row>
    <row r="53" spans="1:5" ht="27.75" customHeight="1" x14ac:dyDescent="0.25">
      <c r="A53" s="2">
        <v>40</v>
      </c>
      <c r="B53" s="3" t="s">
        <v>385</v>
      </c>
      <c r="C53" s="11"/>
      <c r="D53" s="2">
        <f t="shared" si="3"/>
        <v>0</v>
      </c>
      <c r="E53" s="12"/>
    </row>
    <row r="54" spans="1:5" x14ac:dyDescent="0.25">
      <c r="A54" s="38" t="s">
        <v>173</v>
      </c>
      <c r="B54" s="38"/>
      <c r="C54" s="38"/>
      <c r="D54" s="15">
        <f>SUM(D44:D53)</f>
        <v>0</v>
      </c>
      <c r="E54" s="16"/>
    </row>
    <row r="55" spans="1:5" x14ac:dyDescent="0.25">
      <c r="A55" s="37" t="s">
        <v>174</v>
      </c>
      <c r="B55" s="37"/>
      <c r="C55" s="37"/>
      <c r="D55" s="37"/>
      <c r="E55" s="37"/>
    </row>
    <row r="56" spans="1:5" ht="27.75" customHeight="1" x14ac:dyDescent="0.25">
      <c r="A56" s="2">
        <v>41</v>
      </c>
      <c r="B56" s="3" t="s">
        <v>386</v>
      </c>
      <c r="C56" s="11"/>
      <c r="D56" s="2">
        <f t="shared" ref="D56:D65" si="4">IF(C56="Yes",2,0)</f>
        <v>0</v>
      </c>
      <c r="E56" s="12"/>
    </row>
    <row r="57" spans="1:5" ht="27.75" customHeight="1" x14ac:dyDescent="0.25">
      <c r="A57" s="2">
        <v>42</v>
      </c>
      <c r="B57" s="3" t="s">
        <v>387</v>
      </c>
      <c r="C57" s="11"/>
      <c r="D57" s="2">
        <f t="shared" si="4"/>
        <v>0</v>
      </c>
      <c r="E57" s="12"/>
    </row>
    <row r="58" spans="1:5" ht="27.75" customHeight="1" x14ac:dyDescent="0.25">
      <c r="A58" s="2">
        <v>43</v>
      </c>
      <c r="B58" s="3" t="s">
        <v>388</v>
      </c>
      <c r="C58" s="11"/>
      <c r="D58" s="2">
        <f t="shared" si="4"/>
        <v>0</v>
      </c>
      <c r="E58" s="12"/>
    </row>
    <row r="59" spans="1:5" ht="27.75" customHeight="1" x14ac:dyDescent="0.25">
      <c r="A59" s="2">
        <v>44</v>
      </c>
      <c r="B59" s="3" t="s">
        <v>287</v>
      </c>
      <c r="C59" s="11"/>
      <c r="D59" s="2">
        <f t="shared" si="4"/>
        <v>0</v>
      </c>
      <c r="E59" s="12"/>
    </row>
    <row r="60" spans="1:5" ht="27.75" customHeight="1" x14ac:dyDescent="0.25">
      <c r="A60" s="2">
        <v>45</v>
      </c>
      <c r="B60" s="3" t="s">
        <v>389</v>
      </c>
      <c r="C60" s="11"/>
      <c r="D60" s="2">
        <f t="shared" si="4"/>
        <v>0</v>
      </c>
      <c r="E60" s="12"/>
    </row>
    <row r="61" spans="1:5" ht="27.75" customHeight="1" x14ac:dyDescent="0.25">
      <c r="A61" s="2">
        <v>46</v>
      </c>
      <c r="B61" s="3" t="s">
        <v>390</v>
      </c>
      <c r="C61" s="11"/>
      <c r="D61" s="2">
        <f t="shared" si="4"/>
        <v>0</v>
      </c>
      <c r="E61" s="12"/>
    </row>
    <row r="62" spans="1:5" ht="27.75" customHeight="1" x14ac:dyDescent="0.25">
      <c r="A62" s="2">
        <v>47</v>
      </c>
      <c r="B62" s="3" t="s">
        <v>391</v>
      </c>
      <c r="C62" s="11"/>
      <c r="D62" s="2">
        <f t="shared" si="4"/>
        <v>0</v>
      </c>
      <c r="E62" s="12"/>
    </row>
    <row r="63" spans="1:5" ht="27.75" customHeight="1" x14ac:dyDescent="0.25">
      <c r="A63" s="2">
        <v>48</v>
      </c>
      <c r="B63" s="3" t="s">
        <v>392</v>
      </c>
      <c r="C63" s="11"/>
      <c r="D63" s="2">
        <f t="shared" si="4"/>
        <v>0</v>
      </c>
      <c r="E63" s="12"/>
    </row>
    <row r="64" spans="1:5" ht="27.75" customHeight="1" x14ac:dyDescent="0.25">
      <c r="A64" s="2">
        <v>49</v>
      </c>
      <c r="B64" s="3" t="s">
        <v>393</v>
      </c>
      <c r="C64" s="11"/>
      <c r="D64" s="2">
        <f t="shared" si="4"/>
        <v>0</v>
      </c>
      <c r="E64" s="12"/>
    </row>
    <row r="65" spans="1:5" ht="27.75" customHeight="1" x14ac:dyDescent="0.25">
      <c r="A65" s="2">
        <v>50</v>
      </c>
      <c r="B65" s="3" t="s">
        <v>394</v>
      </c>
      <c r="C65" s="11"/>
      <c r="D65" s="2">
        <f t="shared" si="4"/>
        <v>0</v>
      </c>
      <c r="E65" s="12"/>
    </row>
    <row r="66" spans="1:5" x14ac:dyDescent="0.25">
      <c r="A66" s="38" t="s">
        <v>185</v>
      </c>
      <c r="B66" s="38"/>
      <c r="C66" s="38"/>
      <c r="D66" s="15">
        <f>SUM(D56:D65)</f>
        <v>0</v>
      </c>
      <c r="E66" s="16"/>
    </row>
    <row r="67" spans="1:5" x14ac:dyDescent="0.25">
      <c r="A67" s="39" t="s">
        <v>186</v>
      </c>
      <c r="B67" s="39"/>
      <c r="C67" s="39"/>
      <c r="D67" s="17">
        <f>D18+D30+D42+D54+D66</f>
        <v>0</v>
      </c>
      <c r="E67" s="10"/>
    </row>
    <row r="68" spans="1:5" x14ac:dyDescent="0.25">
      <c r="A68" s="40" t="s">
        <v>187</v>
      </c>
      <c r="B68" s="40"/>
      <c r="C68" s="40"/>
      <c r="D68" s="18">
        <f>D67/100</f>
        <v>0</v>
      </c>
      <c r="E68" s="19"/>
    </row>
    <row r="69" spans="1:5" x14ac:dyDescent="0.25">
      <c r="A69" s="40" t="s">
        <v>188</v>
      </c>
      <c r="B69" s="40"/>
      <c r="C69" s="40"/>
      <c r="D69" s="21" t="str">
        <f>IF(D68&gt;=0.9,"Outstanding",IF(D68&gt;=0.75,"On Track",IF(D68&gt;=0.6,"Improving","Needs Support")))</f>
        <v>Needs Support</v>
      </c>
      <c r="E69" s="19"/>
    </row>
    <row r="71" spans="1:5" x14ac:dyDescent="0.25">
      <c r="A71" s="36" t="s">
        <v>189</v>
      </c>
      <c r="B71" s="36"/>
      <c r="C71" s="36"/>
      <c r="D71" s="36"/>
      <c r="E71" s="36"/>
    </row>
    <row r="73" spans="1:5" x14ac:dyDescent="0.25">
      <c r="B73" s="20" t="s">
        <v>190</v>
      </c>
      <c r="E73" s="20" t="s">
        <v>191</v>
      </c>
    </row>
    <row r="74" spans="1:5" x14ac:dyDescent="0.25">
      <c r="A74" s="22" t="s">
        <v>595</v>
      </c>
    </row>
  </sheetData>
  <mergeCells count="16">
    <mergeCell ref="A1:E1"/>
    <mergeCell ref="E2:E4"/>
    <mergeCell ref="A7:E7"/>
    <mergeCell ref="A18:C18"/>
    <mergeCell ref="A19:E19"/>
    <mergeCell ref="A30:C30"/>
    <mergeCell ref="A31:E31"/>
    <mergeCell ref="A42:C42"/>
    <mergeCell ref="A43:E43"/>
    <mergeCell ref="A54:C54"/>
    <mergeCell ref="A71:E71"/>
    <mergeCell ref="A55:E55"/>
    <mergeCell ref="A66:C66"/>
    <mergeCell ref="A67:C67"/>
    <mergeCell ref="A68:C68"/>
    <mergeCell ref="A69:C69"/>
  </mergeCells>
  <dataValidations count="1">
    <dataValidation type="list" allowBlank="1" showErrorMessage="1" errorTitle="Invalid entry" error="Please select Yes or No" sqref="C8:C17 C20:C29 C32:C41 C44:C53 C56:C65" xr:uid="{00000000-0002-0000-0800-000000000000}">
      <formula1>"Yes,No"</formula1>
      <formula2>0</formula2>
    </dataValidation>
  </dataValidations>
  <pageMargins left="0.75" right="0.75" top="1" bottom="1" header="0.511811023622047" footer="0.511811023622047"/>
  <pageSetup fitToHeight="0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E74"/>
  <sheetViews>
    <sheetView showGridLines="0" topLeftCell="A61" zoomScaleNormal="100" workbookViewId="0">
      <selection activeCell="A74" sqref="A74"/>
    </sheetView>
  </sheetViews>
  <sheetFormatPr defaultColWidth="8.5703125" defaultRowHeight="15" x14ac:dyDescent="0.25"/>
  <cols>
    <col min="1" max="1" width="6" customWidth="1"/>
    <col min="2" max="2" width="68" customWidth="1"/>
    <col min="3" max="3" width="12" customWidth="1"/>
    <col min="4" max="4" width="9" customWidth="1"/>
    <col min="5" max="5" width="32" customWidth="1"/>
  </cols>
  <sheetData>
    <row r="1" spans="1:5" ht="25.5" customHeight="1" x14ac:dyDescent="0.25">
      <c r="A1" s="29" t="s">
        <v>395</v>
      </c>
      <c r="B1" s="29"/>
      <c r="C1" s="29"/>
      <c r="D1" s="29"/>
      <c r="E1" s="29"/>
    </row>
    <row r="2" spans="1:5" ht="15" customHeight="1" x14ac:dyDescent="0.25">
      <c r="A2" s="14" t="s">
        <v>120</v>
      </c>
      <c r="B2" s="13"/>
      <c r="C2" s="14" t="s">
        <v>121</v>
      </c>
      <c r="D2" s="13"/>
      <c r="E2" s="41" t="s">
        <v>122</v>
      </c>
    </row>
    <row r="3" spans="1:5" x14ac:dyDescent="0.25">
      <c r="A3" s="14" t="s">
        <v>123</v>
      </c>
      <c r="B3" s="13" t="s">
        <v>117</v>
      </c>
      <c r="C3" s="14" t="s">
        <v>124</v>
      </c>
      <c r="D3" s="13"/>
      <c r="E3" s="41"/>
    </row>
    <row r="4" spans="1:5" x14ac:dyDescent="0.25">
      <c r="A4" s="14" t="s">
        <v>125</v>
      </c>
      <c r="B4" s="13"/>
      <c r="C4" s="14" t="s">
        <v>126</v>
      </c>
      <c r="D4" s="13"/>
      <c r="E4" s="41"/>
    </row>
    <row r="6" spans="1:5" ht="19.5" customHeight="1" x14ac:dyDescent="0.25">
      <c r="A6" s="1" t="s">
        <v>2</v>
      </c>
      <c r="B6" s="1" t="s">
        <v>109</v>
      </c>
      <c r="C6" s="1" t="s">
        <v>110</v>
      </c>
      <c r="D6" s="1" t="s">
        <v>111</v>
      </c>
      <c r="E6" s="1" t="s">
        <v>112</v>
      </c>
    </row>
    <row r="7" spans="1:5" x14ac:dyDescent="0.25">
      <c r="A7" s="37" t="s">
        <v>127</v>
      </c>
      <c r="B7" s="37"/>
      <c r="C7" s="37"/>
      <c r="D7" s="37"/>
      <c r="E7" s="37"/>
    </row>
    <row r="8" spans="1:5" ht="27.75" customHeight="1" x14ac:dyDescent="0.25">
      <c r="A8" s="2">
        <v>1</v>
      </c>
      <c r="B8" s="3" t="s">
        <v>396</v>
      </c>
      <c r="C8" s="11"/>
      <c r="D8" s="2">
        <f t="shared" ref="D8:D17" si="0">IF(C8="Yes",2,0)</f>
        <v>0</v>
      </c>
      <c r="E8" s="12"/>
    </row>
    <row r="9" spans="1:5" ht="27.75" customHeight="1" x14ac:dyDescent="0.25">
      <c r="A9" s="2">
        <v>2</v>
      </c>
      <c r="B9" s="3" t="s">
        <v>397</v>
      </c>
      <c r="C9" s="11"/>
      <c r="D9" s="2">
        <f t="shared" si="0"/>
        <v>0</v>
      </c>
      <c r="E9" s="12"/>
    </row>
    <row r="10" spans="1:5" ht="27.75" customHeight="1" x14ac:dyDescent="0.25">
      <c r="A10" s="2">
        <v>3</v>
      </c>
      <c r="B10" s="3" t="s">
        <v>398</v>
      </c>
      <c r="C10" s="11"/>
      <c r="D10" s="2">
        <f t="shared" si="0"/>
        <v>0</v>
      </c>
      <c r="E10" s="12"/>
    </row>
    <row r="11" spans="1:5" ht="27.75" customHeight="1" x14ac:dyDescent="0.25">
      <c r="A11" s="2">
        <v>4</v>
      </c>
      <c r="B11" s="3" t="s">
        <v>399</v>
      </c>
      <c r="C11" s="11"/>
      <c r="D11" s="2">
        <f t="shared" si="0"/>
        <v>0</v>
      </c>
      <c r="E11" s="12"/>
    </row>
    <row r="12" spans="1:5" ht="27.75" customHeight="1" x14ac:dyDescent="0.25">
      <c r="A12" s="2">
        <v>5</v>
      </c>
      <c r="B12" s="3" t="s">
        <v>400</v>
      </c>
      <c r="C12" s="11"/>
      <c r="D12" s="2">
        <f t="shared" si="0"/>
        <v>0</v>
      </c>
      <c r="E12" s="12"/>
    </row>
    <row r="13" spans="1:5" ht="27.75" customHeight="1" x14ac:dyDescent="0.25">
      <c r="A13" s="2">
        <v>6</v>
      </c>
      <c r="B13" s="3" t="s">
        <v>401</v>
      </c>
      <c r="C13" s="11"/>
      <c r="D13" s="2">
        <f t="shared" si="0"/>
        <v>0</v>
      </c>
      <c r="E13" s="12"/>
    </row>
    <row r="14" spans="1:5" ht="27.75" customHeight="1" x14ac:dyDescent="0.25">
      <c r="A14" s="2">
        <v>7</v>
      </c>
      <c r="B14" s="3" t="s">
        <v>402</v>
      </c>
      <c r="C14" s="11"/>
      <c r="D14" s="2">
        <f t="shared" si="0"/>
        <v>0</v>
      </c>
      <c r="E14" s="12"/>
    </row>
    <row r="15" spans="1:5" ht="27.75" customHeight="1" x14ac:dyDescent="0.25">
      <c r="A15" s="2">
        <v>8</v>
      </c>
      <c r="B15" s="3" t="s">
        <v>403</v>
      </c>
      <c r="C15" s="11"/>
      <c r="D15" s="2">
        <f t="shared" si="0"/>
        <v>0</v>
      </c>
      <c r="E15" s="12"/>
    </row>
    <row r="16" spans="1:5" ht="27.75" customHeight="1" x14ac:dyDescent="0.25">
      <c r="A16" s="2">
        <v>9</v>
      </c>
      <c r="B16" s="3" t="s">
        <v>404</v>
      </c>
      <c r="C16" s="11"/>
      <c r="D16" s="2">
        <f t="shared" si="0"/>
        <v>0</v>
      </c>
      <c r="E16" s="12"/>
    </row>
    <row r="17" spans="1:5" ht="27.75" customHeight="1" x14ac:dyDescent="0.25">
      <c r="A17" s="2">
        <v>10</v>
      </c>
      <c r="B17" s="3" t="s">
        <v>405</v>
      </c>
      <c r="C17" s="11"/>
      <c r="D17" s="2">
        <f t="shared" si="0"/>
        <v>0</v>
      </c>
      <c r="E17" s="12"/>
    </row>
    <row r="18" spans="1:5" x14ac:dyDescent="0.25">
      <c r="A18" s="38" t="s">
        <v>137</v>
      </c>
      <c r="B18" s="38"/>
      <c r="C18" s="38"/>
      <c r="D18" s="15">
        <f>SUM(D8:D17)</f>
        <v>0</v>
      </c>
      <c r="E18" s="16"/>
    </row>
    <row r="19" spans="1:5" x14ac:dyDescent="0.25">
      <c r="A19" s="37" t="s">
        <v>138</v>
      </c>
      <c r="B19" s="37"/>
      <c r="C19" s="37"/>
      <c r="D19" s="37"/>
      <c r="E19" s="37"/>
    </row>
    <row r="20" spans="1:5" ht="27.75" customHeight="1" x14ac:dyDescent="0.25">
      <c r="A20" s="2">
        <v>11</v>
      </c>
      <c r="B20" s="3" t="s">
        <v>406</v>
      </c>
      <c r="C20" s="11"/>
      <c r="D20" s="2">
        <f t="shared" ref="D20:D29" si="1">IF(C20="Yes",2,0)</f>
        <v>0</v>
      </c>
      <c r="E20" s="12"/>
    </row>
    <row r="21" spans="1:5" ht="27.75" customHeight="1" x14ac:dyDescent="0.25">
      <c r="A21" s="2">
        <v>12</v>
      </c>
      <c r="B21" s="3" t="s">
        <v>407</v>
      </c>
      <c r="C21" s="11"/>
      <c r="D21" s="2">
        <f t="shared" si="1"/>
        <v>0</v>
      </c>
      <c r="E21" s="12"/>
    </row>
    <row r="22" spans="1:5" ht="27.75" customHeight="1" x14ac:dyDescent="0.25">
      <c r="A22" s="2">
        <v>13</v>
      </c>
      <c r="B22" s="3" t="s">
        <v>408</v>
      </c>
      <c r="C22" s="11"/>
      <c r="D22" s="2">
        <f t="shared" si="1"/>
        <v>0</v>
      </c>
      <c r="E22" s="12"/>
    </row>
    <row r="23" spans="1:5" ht="27.75" customHeight="1" x14ac:dyDescent="0.25">
      <c r="A23" s="2">
        <v>14</v>
      </c>
      <c r="B23" s="3" t="s">
        <v>409</v>
      </c>
      <c r="C23" s="11"/>
      <c r="D23" s="2">
        <f t="shared" si="1"/>
        <v>0</v>
      </c>
      <c r="E23" s="12"/>
    </row>
    <row r="24" spans="1:5" ht="27.75" customHeight="1" x14ac:dyDescent="0.25">
      <c r="A24" s="2">
        <v>15</v>
      </c>
      <c r="B24" s="3" t="s">
        <v>410</v>
      </c>
      <c r="C24" s="11"/>
      <c r="D24" s="2">
        <f t="shared" si="1"/>
        <v>0</v>
      </c>
      <c r="E24" s="12"/>
    </row>
    <row r="25" spans="1:5" ht="27.75" customHeight="1" x14ac:dyDescent="0.25">
      <c r="A25" s="2">
        <v>16</v>
      </c>
      <c r="B25" s="3" t="s">
        <v>411</v>
      </c>
      <c r="C25" s="11"/>
      <c r="D25" s="2">
        <f t="shared" si="1"/>
        <v>0</v>
      </c>
      <c r="E25" s="12"/>
    </row>
    <row r="26" spans="1:5" ht="27.75" customHeight="1" x14ac:dyDescent="0.25">
      <c r="A26" s="2">
        <v>17</v>
      </c>
      <c r="B26" s="3" t="s">
        <v>412</v>
      </c>
      <c r="C26" s="11"/>
      <c r="D26" s="2">
        <f t="shared" si="1"/>
        <v>0</v>
      </c>
      <c r="E26" s="12"/>
    </row>
    <row r="27" spans="1:5" ht="27.75" customHeight="1" x14ac:dyDescent="0.25">
      <c r="A27" s="2">
        <v>18</v>
      </c>
      <c r="B27" s="3" t="s">
        <v>413</v>
      </c>
      <c r="C27" s="11"/>
      <c r="D27" s="2">
        <f t="shared" si="1"/>
        <v>0</v>
      </c>
      <c r="E27" s="12"/>
    </row>
    <row r="28" spans="1:5" ht="27.75" customHeight="1" x14ac:dyDescent="0.25">
      <c r="A28" s="2">
        <v>19</v>
      </c>
      <c r="B28" s="3" t="s">
        <v>414</v>
      </c>
      <c r="C28" s="11"/>
      <c r="D28" s="2">
        <f t="shared" si="1"/>
        <v>0</v>
      </c>
      <c r="E28" s="12"/>
    </row>
    <row r="29" spans="1:5" ht="27.75" customHeight="1" x14ac:dyDescent="0.25">
      <c r="A29" s="2">
        <v>20</v>
      </c>
      <c r="B29" s="3" t="s">
        <v>415</v>
      </c>
      <c r="C29" s="11"/>
      <c r="D29" s="2">
        <f t="shared" si="1"/>
        <v>0</v>
      </c>
      <c r="E29" s="12"/>
    </row>
    <row r="30" spans="1:5" x14ac:dyDescent="0.25">
      <c r="A30" s="38" t="s">
        <v>149</v>
      </c>
      <c r="B30" s="38"/>
      <c r="C30" s="38"/>
      <c r="D30" s="15">
        <f>SUM(D20:D29)</f>
        <v>0</v>
      </c>
      <c r="E30" s="16"/>
    </row>
    <row r="31" spans="1:5" x14ac:dyDescent="0.25">
      <c r="A31" s="37" t="s">
        <v>150</v>
      </c>
      <c r="B31" s="37"/>
      <c r="C31" s="37"/>
      <c r="D31" s="37"/>
      <c r="E31" s="37"/>
    </row>
    <row r="32" spans="1:5" ht="27.75" customHeight="1" x14ac:dyDescent="0.25">
      <c r="A32" s="2">
        <v>21</v>
      </c>
      <c r="B32" s="3" t="s">
        <v>416</v>
      </c>
      <c r="C32" s="11"/>
      <c r="D32" s="2">
        <f t="shared" ref="D32:D41" si="2">IF(C32="Yes",2,0)</f>
        <v>0</v>
      </c>
      <c r="E32" s="12"/>
    </row>
    <row r="33" spans="1:5" ht="27.75" customHeight="1" x14ac:dyDescent="0.25">
      <c r="A33" s="2">
        <v>22</v>
      </c>
      <c r="B33" s="3" t="s">
        <v>417</v>
      </c>
      <c r="C33" s="11"/>
      <c r="D33" s="2">
        <f t="shared" si="2"/>
        <v>0</v>
      </c>
      <c r="E33" s="12"/>
    </row>
    <row r="34" spans="1:5" ht="27.75" customHeight="1" x14ac:dyDescent="0.25">
      <c r="A34" s="2">
        <v>23</v>
      </c>
      <c r="B34" s="3" t="s">
        <v>418</v>
      </c>
      <c r="C34" s="11"/>
      <c r="D34" s="2">
        <f t="shared" si="2"/>
        <v>0</v>
      </c>
      <c r="E34" s="12"/>
    </row>
    <row r="35" spans="1:5" ht="27.75" customHeight="1" x14ac:dyDescent="0.25">
      <c r="A35" s="2">
        <v>24</v>
      </c>
      <c r="B35" s="3" t="s">
        <v>419</v>
      </c>
      <c r="C35" s="11"/>
      <c r="D35" s="2">
        <f t="shared" si="2"/>
        <v>0</v>
      </c>
      <c r="E35" s="12"/>
    </row>
    <row r="36" spans="1:5" ht="27.75" customHeight="1" x14ac:dyDescent="0.25">
      <c r="A36" s="2">
        <v>25</v>
      </c>
      <c r="B36" s="3" t="s">
        <v>420</v>
      </c>
      <c r="C36" s="11"/>
      <c r="D36" s="2">
        <f t="shared" si="2"/>
        <v>0</v>
      </c>
      <c r="E36" s="12"/>
    </row>
    <row r="37" spans="1:5" ht="27.75" customHeight="1" x14ac:dyDescent="0.25">
      <c r="A37" s="2">
        <v>26</v>
      </c>
      <c r="B37" s="3" t="s">
        <v>421</v>
      </c>
      <c r="C37" s="11"/>
      <c r="D37" s="2">
        <f t="shared" si="2"/>
        <v>0</v>
      </c>
      <c r="E37" s="12"/>
    </row>
    <row r="38" spans="1:5" ht="27.75" customHeight="1" x14ac:dyDescent="0.25">
      <c r="A38" s="2">
        <v>27</v>
      </c>
      <c r="B38" s="3" t="s">
        <v>422</v>
      </c>
      <c r="C38" s="11"/>
      <c r="D38" s="2">
        <f t="shared" si="2"/>
        <v>0</v>
      </c>
      <c r="E38" s="12"/>
    </row>
    <row r="39" spans="1:5" ht="27.75" customHeight="1" x14ac:dyDescent="0.25">
      <c r="A39" s="2">
        <v>28</v>
      </c>
      <c r="B39" s="3" t="s">
        <v>423</v>
      </c>
      <c r="C39" s="11"/>
      <c r="D39" s="2">
        <f t="shared" si="2"/>
        <v>0</v>
      </c>
      <c r="E39" s="12"/>
    </row>
    <row r="40" spans="1:5" ht="27.75" customHeight="1" x14ac:dyDescent="0.25">
      <c r="A40" s="2">
        <v>29</v>
      </c>
      <c r="B40" s="3" t="s">
        <v>424</v>
      </c>
      <c r="C40" s="11"/>
      <c r="D40" s="2">
        <f t="shared" si="2"/>
        <v>0</v>
      </c>
      <c r="E40" s="12"/>
    </row>
    <row r="41" spans="1:5" ht="27.75" customHeight="1" x14ac:dyDescent="0.25">
      <c r="A41" s="2">
        <v>30</v>
      </c>
      <c r="B41" s="3" t="s">
        <v>425</v>
      </c>
      <c r="C41" s="11"/>
      <c r="D41" s="2">
        <f t="shared" si="2"/>
        <v>0</v>
      </c>
      <c r="E41" s="12"/>
    </row>
    <row r="42" spans="1:5" x14ac:dyDescent="0.25">
      <c r="A42" s="38" t="s">
        <v>161</v>
      </c>
      <c r="B42" s="38"/>
      <c r="C42" s="38"/>
      <c r="D42" s="15">
        <f>SUM(D32:D41)</f>
        <v>0</v>
      </c>
      <c r="E42" s="16"/>
    </row>
    <row r="43" spans="1:5" x14ac:dyDescent="0.25">
      <c r="A43" s="37" t="s">
        <v>162</v>
      </c>
      <c r="B43" s="37"/>
      <c r="C43" s="37"/>
      <c r="D43" s="37"/>
      <c r="E43" s="37"/>
    </row>
    <row r="44" spans="1:5" ht="27.75" customHeight="1" x14ac:dyDescent="0.25">
      <c r="A44" s="2">
        <v>31</v>
      </c>
      <c r="B44" s="3" t="s">
        <v>426</v>
      </c>
      <c r="C44" s="11"/>
      <c r="D44" s="2">
        <f t="shared" ref="D44:D53" si="3">IF(C44="Yes",2,0)</f>
        <v>0</v>
      </c>
      <c r="E44" s="12"/>
    </row>
    <row r="45" spans="1:5" ht="27.75" customHeight="1" x14ac:dyDescent="0.25">
      <c r="A45" s="2">
        <v>32</v>
      </c>
      <c r="B45" s="3" t="s">
        <v>427</v>
      </c>
      <c r="C45" s="11"/>
      <c r="D45" s="2">
        <f t="shared" si="3"/>
        <v>0</v>
      </c>
      <c r="E45" s="12"/>
    </row>
    <row r="46" spans="1:5" ht="27.75" customHeight="1" x14ac:dyDescent="0.25">
      <c r="A46" s="2">
        <v>33</v>
      </c>
      <c r="B46" s="3" t="s">
        <v>428</v>
      </c>
      <c r="C46" s="11"/>
      <c r="D46" s="2">
        <f t="shared" si="3"/>
        <v>0</v>
      </c>
      <c r="E46" s="12"/>
    </row>
    <row r="47" spans="1:5" ht="27.75" customHeight="1" x14ac:dyDescent="0.25">
      <c r="A47" s="2">
        <v>34</v>
      </c>
      <c r="B47" s="3" t="s">
        <v>429</v>
      </c>
      <c r="C47" s="11"/>
      <c r="D47" s="2">
        <f t="shared" si="3"/>
        <v>0</v>
      </c>
      <c r="E47" s="12"/>
    </row>
    <row r="48" spans="1:5" ht="27.75" customHeight="1" x14ac:dyDescent="0.25">
      <c r="A48" s="2">
        <v>35</v>
      </c>
      <c r="B48" s="3" t="s">
        <v>430</v>
      </c>
      <c r="C48" s="11"/>
      <c r="D48" s="2">
        <f t="shared" si="3"/>
        <v>0</v>
      </c>
      <c r="E48" s="12"/>
    </row>
    <row r="49" spans="1:5" ht="27.75" customHeight="1" x14ac:dyDescent="0.25">
      <c r="A49" s="2">
        <v>36</v>
      </c>
      <c r="B49" s="3" t="s">
        <v>431</v>
      </c>
      <c r="C49" s="11"/>
      <c r="D49" s="2">
        <f t="shared" si="3"/>
        <v>0</v>
      </c>
      <c r="E49" s="12"/>
    </row>
    <row r="50" spans="1:5" ht="27.75" customHeight="1" x14ac:dyDescent="0.25">
      <c r="A50" s="2">
        <v>37</v>
      </c>
      <c r="B50" s="3" t="s">
        <v>432</v>
      </c>
      <c r="C50" s="11"/>
      <c r="D50" s="2">
        <f t="shared" si="3"/>
        <v>0</v>
      </c>
      <c r="E50" s="12"/>
    </row>
    <row r="51" spans="1:5" ht="27.75" customHeight="1" x14ac:dyDescent="0.25">
      <c r="A51" s="2">
        <v>38</v>
      </c>
      <c r="B51" s="3" t="s">
        <v>433</v>
      </c>
      <c r="C51" s="11"/>
      <c r="D51" s="2">
        <f t="shared" si="3"/>
        <v>0</v>
      </c>
      <c r="E51" s="12"/>
    </row>
    <row r="52" spans="1:5" ht="27.75" customHeight="1" x14ac:dyDescent="0.25">
      <c r="A52" s="2">
        <v>39</v>
      </c>
      <c r="B52" s="3" t="s">
        <v>434</v>
      </c>
      <c r="C52" s="11"/>
      <c r="D52" s="2">
        <f t="shared" si="3"/>
        <v>0</v>
      </c>
      <c r="E52" s="12"/>
    </row>
    <row r="53" spans="1:5" ht="27.75" customHeight="1" x14ac:dyDescent="0.25">
      <c r="A53" s="2">
        <v>40</v>
      </c>
      <c r="B53" s="3" t="s">
        <v>435</v>
      </c>
      <c r="C53" s="11"/>
      <c r="D53" s="2">
        <f t="shared" si="3"/>
        <v>0</v>
      </c>
      <c r="E53" s="12"/>
    </row>
    <row r="54" spans="1:5" x14ac:dyDescent="0.25">
      <c r="A54" s="38" t="s">
        <v>173</v>
      </c>
      <c r="B54" s="38"/>
      <c r="C54" s="38"/>
      <c r="D54" s="15">
        <f>SUM(D44:D53)</f>
        <v>0</v>
      </c>
      <c r="E54" s="16"/>
    </row>
    <row r="55" spans="1:5" x14ac:dyDescent="0.25">
      <c r="A55" s="37" t="s">
        <v>174</v>
      </c>
      <c r="B55" s="37"/>
      <c r="C55" s="37"/>
      <c r="D55" s="37"/>
      <c r="E55" s="37"/>
    </row>
    <row r="56" spans="1:5" ht="27.75" customHeight="1" x14ac:dyDescent="0.25">
      <c r="A56" s="2">
        <v>41</v>
      </c>
      <c r="B56" s="3" t="s">
        <v>436</v>
      </c>
      <c r="C56" s="11"/>
      <c r="D56" s="2">
        <f t="shared" ref="D56:D65" si="4">IF(C56="Yes",2,0)</f>
        <v>0</v>
      </c>
      <c r="E56" s="12"/>
    </row>
    <row r="57" spans="1:5" ht="27.75" customHeight="1" x14ac:dyDescent="0.25">
      <c r="A57" s="2">
        <v>42</v>
      </c>
      <c r="B57" s="3" t="s">
        <v>437</v>
      </c>
      <c r="C57" s="11"/>
      <c r="D57" s="2">
        <f t="shared" si="4"/>
        <v>0</v>
      </c>
      <c r="E57" s="12"/>
    </row>
    <row r="58" spans="1:5" ht="27.75" customHeight="1" x14ac:dyDescent="0.25">
      <c r="A58" s="2">
        <v>43</v>
      </c>
      <c r="B58" s="3" t="s">
        <v>388</v>
      </c>
      <c r="C58" s="11"/>
      <c r="D58" s="2">
        <f t="shared" si="4"/>
        <v>0</v>
      </c>
      <c r="E58" s="12"/>
    </row>
    <row r="59" spans="1:5" ht="27.75" customHeight="1" x14ac:dyDescent="0.25">
      <c r="A59" s="2">
        <v>44</v>
      </c>
      <c r="B59" s="3" t="s">
        <v>287</v>
      </c>
      <c r="C59" s="11"/>
      <c r="D59" s="2">
        <f t="shared" si="4"/>
        <v>0</v>
      </c>
      <c r="E59" s="12"/>
    </row>
    <row r="60" spans="1:5" ht="27.75" customHeight="1" x14ac:dyDescent="0.25">
      <c r="A60" s="2">
        <v>45</v>
      </c>
      <c r="B60" s="3" t="s">
        <v>438</v>
      </c>
      <c r="C60" s="11"/>
      <c r="D60" s="2">
        <f t="shared" si="4"/>
        <v>0</v>
      </c>
      <c r="E60" s="12"/>
    </row>
    <row r="61" spans="1:5" ht="27.75" customHeight="1" x14ac:dyDescent="0.25">
      <c r="A61" s="2">
        <v>46</v>
      </c>
      <c r="B61" s="3" t="s">
        <v>439</v>
      </c>
      <c r="C61" s="11"/>
      <c r="D61" s="2">
        <f t="shared" si="4"/>
        <v>0</v>
      </c>
      <c r="E61" s="12"/>
    </row>
    <row r="62" spans="1:5" ht="27.75" customHeight="1" x14ac:dyDescent="0.25">
      <c r="A62" s="2">
        <v>47</v>
      </c>
      <c r="B62" s="3" t="s">
        <v>440</v>
      </c>
      <c r="C62" s="11"/>
      <c r="D62" s="2">
        <f t="shared" si="4"/>
        <v>0</v>
      </c>
      <c r="E62" s="12"/>
    </row>
    <row r="63" spans="1:5" ht="27.75" customHeight="1" x14ac:dyDescent="0.25">
      <c r="A63" s="2">
        <v>48</v>
      </c>
      <c r="B63" s="3" t="s">
        <v>441</v>
      </c>
      <c r="C63" s="11"/>
      <c r="D63" s="2">
        <f t="shared" si="4"/>
        <v>0</v>
      </c>
      <c r="E63" s="12"/>
    </row>
    <row r="64" spans="1:5" ht="27.75" customHeight="1" x14ac:dyDescent="0.25">
      <c r="A64" s="2">
        <v>49</v>
      </c>
      <c r="B64" s="3" t="s">
        <v>442</v>
      </c>
      <c r="C64" s="11"/>
      <c r="D64" s="2">
        <f t="shared" si="4"/>
        <v>0</v>
      </c>
      <c r="E64" s="12"/>
    </row>
    <row r="65" spans="1:5" ht="27.75" customHeight="1" x14ac:dyDescent="0.25">
      <c r="A65" s="2">
        <v>50</v>
      </c>
      <c r="B65" s="3" t="s">
        <v>443</v>
      </c>
      <c r="C65" s="11"/>
      <c r="D65" s="2">
        <f t="shared" si="4"/>
        <v>0</v>
      </c>
      <c r="E65" s="12"/>
    </row>
    <row r="66" spans="1:5" x14ac:dyDescent="0.25">
      <c r="A66" s="38" t="s">
        <v>185</v>
      </c>
      <c r="B66" s="38"/>
      <c r="C66" s="38"/>
      <c r="D66" s="15">
        <f>SUM(D56:D65)</f>
        <v>0</v>
      </c>
      <c r="E66" s="16"/>
    </row>
    <row r="67" spans="1:5" x14ac:dyDescent="0.25">
      <c r="A67" s="39" t="s">
        <v>186</v>
      </c>
      <c r="B67" s="39"/>
      <c r="C67" s="39"/>
      <c r="D67" s="17">
        <f>D18+D30+D42+D54+D66</f>
        <v>0</v>
      </c>
      <c r="E67" s="10"/>
    </row>
    <row r="68" spans="1:5" x14ac:dyDescent="0.25">
      <c r="A68" s="40" t="s">
        <v>187</v>
      </c>
      <c r="B68" s="40"/>
      <c r="C68" s="40"/>
      <c r="D68" s="18">
        <f>D67/100</f>
        <v>0</v>
      </c>
      <c r="E68" s="19"/>
    </row>
    <row r="69" spans="1:5" x14ac:dyDescent="0.25">
      <c r="A69" s="40" t="s">
        <v>188</v>
      </c>
      <c r="B69" s="40"/>
      <c r="C69" s="40"/>
      <c r="D69" s="21" t="str">
        <f>IF(D68&gt;=0.9,"Outstanding",IF(D68&gt;=0.75,"On Track",IF(D68&gt;=0.6,"Improving","Needs Support")))</f>
        <v>Needs Support</v>
      </c>
      <c r="E69" s="19"/>
    </row>
    <row r="71" spans="1:5" x14ac:dyDescent="0.25">
      <c r="A71" s="36" t="s">
        <v>189</v>
      </c>
      <c r="B71" s="36"/>
      <c r="C71" s="36"/>
      <c r="D71" s="36"/>
      <c r="E71" s="36"/>
    </row>
    <row r="73" spans="1:5" x14ac:dyDescent="0.25">
      <c r="B73" s="20" t="s">
        <v>190</v>
      </c>
      <c r="E73" s="20" t="s">
        <v>191</v>
      </c>
    </row>
    <row r="74" spans="1:5" x14ac:dyDescent="0.25">
      <c r="A74" s="22" t="s">
        <v>595</v>
      </c>
    </row>
  </sheetData>
  <mergeCells count="16">
    <mergeCell ref="A1:E1"/>
    <mergeCell ref="E2:E4"/>
    <mergeCell ref="A7:E7"/>
    <mergeCell ref="A18:C18"/>
    <mergeCell ref="A19:E19"/>
    <mergeCell ref="A30:C30"/>
    <mergeCell ref="A31:E31"/>
    <mergeCell ref="A42:C42"/>
    <mergeCell ref="A43:E43"/>
    <mergeCell ref="A54:C54"/>
    <mergeCell ref="A71:E71"/>
    <mergeCell ref="A55:E55"/>
    <mergeCell ref="A66:C66"/>
    <mergeCell ref="A67:C67"/>
    <mergeCell ref="A68:C68"/>
    <mergeCell ref="A69:C69"/>
  </mergeCells>
  <dataValidations count="1">
    <dataValidation type="list" allowBlank="1" showErrorMessage="1" errorTitle="Invalid entry" error="Please select Yes or No" sqref="C8:C17 C20:C29 C32:C41 C44:C53 C56:C65" xr:uid="{00000000-0002-0000-0900-000000000000}">
      <formula1>"Yes,No"</formula1>
      <formula2>0</formula2>
    </dataValidation>
  </dataValidations>
  <pageMargins left="0.75" right="0.75" top="1" bottom="1" header="0.511811023622047" footer="0.511811023622047"/>
  <pageSetup fitToHeight="0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E74"/>
  <sheetViews>
    <sheetView showGridLines="0" topLeftCell="A63" zoomScaleNormal="100" workbookViewId="0">
      <selection activeCell="A74" sqref="A74"/>
    </sheetView>
  </sheetViews>
  <sheetFormatPr defaultColWidth="8.5703125" defaultRowHeight="15" x14ac:dyDescent="0.25"/>
  <cols>
    <col min="1" max="1" width="6" customWidth="1"/>
    <col min="2" max="2" width="68" customWidth="1"/>
    <col min="3" max="3" width="12" customWidth="1"/>
    <col min="4" max="4" width="9" customWidth="1"/>
    <col min="5" max="5" width="32" customWidth="1"/>
  </cols>
  <sheetData>
    <row r="1" spans="1:5" ht="25.5" customHeight="1" x14ac:dyDescent="0.25">
      <c r="A1" s="29" t="s">
        <v>444</v>
      </c>
      <c r="B1" s="29"/>
      <c r="C1" s="29"/>
      <c r="D1" s="29"/>
      <c r="E1" s="29"/>
    </row>
    <row r="2" spans="1:5" ht="15" customHeight="1" x14ac:dyDescent="0.25">
      <c r="A2" s="14" t="s">
        <v>120</v>
      </c>
      <c r="B2" s="13"/>
      <c r="C2" s="14" t="s">
        <v>121</v>
      </c>
      <c r="D2" s="13"/>
      <c r="E2" s="41" t="s">
        <v>122</v>
      </c>
    </row>
    <row r="3" spans="1:5" x14ac:dyDescent="0.25">
      <c r="A3" s="14" t="s">
        <v>123</v>
      </c>
      <c r="B3" s="13" t="s">
        <v>118</v>
      </c>
      <c r="C3" s="14" t="s">
        <v>124</v>
      </c>
      <c r="D3" s="13"/>
      <c r="E3" s="41"/>
    </row>
    <row r="4" spans="1:5" x14ac:dyDescent="0.25">
      <c r="A4" s="14" t="s">
        <v>125</v>
      </c>
      <c r="B4" s="13"/>
      <c r="C4" s="14" t="s">
        <v>126</v>
      </c>
      <c r="D4" s="13"/>
      <c r="E4" s="41"/>
    </row>
    <row r="6" spans="1:5" ht="19.5" customHeight="1" x14ac:dyDescent="0.25">
      <c r="A6" s="1" t="s">
        <v>2</v>
      </c>
      <c r="B6" s="1" t="s">
        <v>109</v>
      </c>
      <c r="C6" s="1" t="s">
        <v>110</v>
      </c>
      <c r="D6" s="1" t="s">
        <v>111</v>
      </c>
      <c r="E6" s="1" t="s">
        <v>112</v>
      </c>
    </row>
    <row r="7" spans="1:5" x14ac:dyDescent="0.25">
      <c r="A7" s="37" t="s">
        <v>127</v>
      </c>
      <c r="B7" s="37"/>
      <c r="C7" s="37"/>
      <c r="D7" s="37"/>
      <c r="E7" s="37"/>
    </row>
    <row r="8" spans="1:5" ht="27.75" customHeight="1" x14ac:dyDescent="0.25">
      <c r="A8" s="2">
        <v>1</v>
      </c>
      <c r="B8" s="3" t="s">
        <v>445</v>
      </c>
      <c r="C8" s="11"/>
      <c r="D8" s="2">
        <f t="shared" ref="D8:D17" si="0">IF(C8="Yes",2,0)</f>
        <v>0</v>
      </c>
      <c r="E8" s="12"/>
    </row>
    <row r="9" spans="1:5" ht="27.75" customHeight="1" x14ac:dyDescent="0.25">
      <c r="A9" s="2">
        <v>2</v>
      </c>
      <c r="B9" s="3" t="s">
        <v>446</v>
      </c>
      <c r="C9" s="11"/>
      <c r="D9" s="2">
        <f t="shared" si="0"/>
        <v>0</v>
      </c>
      <c r="E9" s="12"/>
    </row>
    <row r="10" spans="1:5" ht="27.75" customHeight="1" x14ac:dyDescent="0.25">
      <c r="A10" s="2">
        <v>3</v>
      </c>
      <c r="B10" s="3" t="s">
        <v>447</v>
      </c>
      <c r="C10" s="11"/>
      <c r="D10" s="2">
        <f t="shared" si="0"/>
        <v>0</v>
      </c>
      <c r="E10" s="12"/>
    </row>
    <row r="11" spans="1:5" ht="27.75" customHeight="1" x14ac:dyDescent="0.25">
      <c r="A11" s="2">
        <v>4</v>
      </c>
      <c r="B11" s="3" t="s">
        <v>448</v>
      </c>
      <c r="C11" s="11"/>
      <c r="D11" s="2">
        <f t="shared" si="0"/>
        <v>0</v>
      </c>
      <c r="E11" s="12"/>
    </row>
    <row r="12" spans="1:5" ht="27.75" customHeight="1" x14ac:dyDescent="0.25">
      <c r="A12" s="2">
        <v>5</v>
      </c>
      <c r="B12" s="3" t="s">
        <v>449</v>
      </c>
      <c r="C12" s="11"/>
      <c r="D12" s="2">
        <f t="shared" si="0"/>
        <v>0</v>
      </c>
      <c r="E12" s="12"/>
    </row>
    <row r="13" spans="1:5" ht="27.75" customHeight="1" x14ac:dyDescent="0.25">
      <c r="A13" s="2">
        <v>6</v>
      </c>
      <c r="B13" s="3" t="s">
        <v>450</v>
      </c>
      <c r="C13" s="11"/>
      <c r="D13" s="2">
        <f t="shared" si="0"/>
        <v>0</v>
      </c>
      <c r="E13" s="12"/>
    </row>
    <row r="14" spans="1:5" ht="27.75" customHeight="1" x14ac:dyDescent="0.25">
      <c r="A14" s="2">
        <v>7</v>
      </c>
      <c r="B14" s="3" t="s">
        <v>451</v>
      </c>
      <c r="C14" s="11"/>
      <c r="D14" s="2">
        <f t="shared" si="0"/>
        <v>0</v>
      </c>
      <c r="E14" s="12"/>
    </row>
    <row r="15" spans="1:5" ht="27.75" customHeight="1" x14ac:dyDescent="0.25">
      <c r="A15" s="2">
        <v>8</v>
      </c>
      <c r="B15" s="3" t="s">
        <v>452</v>
      </c>
      <c r="C15" s="11"/>
      <c r="D15" s="2">
        <f t="shared" si="0"/>
        <v>0</v>
      </c>
      <c r="E15" s="12"/>
    </row>
    <row r="16" spans="1:5" ht="27.75" customHeight="1" x14ac:dyDescent="0.25">
      <c r="A16" s="2">
        <v>9</v>
      </c>
      <c r="B16" s="3" t="s">
        <v>453</v>
      </c>
      <c r="C16" s="11"/>
      <c r="D16" s="2">
        <f t="shared" si="0"/>
        <v>0</v>
      </c>
      <c r="E16" s="12"/>
    </row>
    <row r="17" spans="1:5" ht="27.75" customHeight="1" x14ac:dyDescent="0.25">
      <c r="A17" s="2">
        <v>10</v>
      </c>
      <c r="B17" s="3" t="s">
        <v>454</v>
      </c>
      <c r="C17" s="11"/>
      <c r="D17" s="2">
        <f t="shared" si="0"/>
        <v>0</v>
      </c>
      <c r="E17" s="12"/>
    </row>
    <row r="18" spans="1:5" x14ac:dyDescent="0.25">
      <c r="A18" s="38" t="s">
        <v>137</v>
      </c>
      <c r="B18" s="38"/>
      <c r="C18" s="38"/>
      <c r="D18" s="15">
        <f>SUM(D8:D17)</f>
        <v>0</v>
      </c>
      <c r="E18" s="16"/>
    </row>
    <row r="19" spans="1:5" x14ac:dyDescent="0.25">
      <c r="A19" s="37" t="s">
        <v>138</v>
      </c>
      <c r="B19" s="37"/>
      <c r="C19" s="37"/>
      <c r="D19" s="37"/>
      <c r="E19" s="37"/>
    </row>
    <row r="20" spans="1:5" ht="27.75" customHeight="1" x14ac:dyDescent="0.25">
      <c r="A20" s="2">
        <v>11</v>
      </c>
      <c r="B20" s="3" t="s">
        <v>455</v>
      </c>
      <c r="C20" s="11"/>
      <c r="D20" s="2">
        <f t="shared" ref="D20:D29" si="1">IF(C20="Yes",2,0)</f>
        <v>0</v>
      </c>
      <c r="E20" s="12"/>
    </row>
    <row r="21" spans="1:5" ht="27.75" customHeight="1" x14ac:dyDescent="0.25">
      <c r="A21" s="2">
        <v>12</v>
      </c>
      <c r="B21" s="3" t="s">
        <v>456</v>
      </c>
      <c r="C21" s="11"/>
      <c r="D21" s="2">
        <f t="shared" si="1"/>
        <v>0</v>
      </c>
      <c r="E21" s="12"/>
    </row>
    <row r="22" spans="1:5" ht="27.75" customHeight="1" x14ac:dyDescent="0.25">
      <c r="A22" s="2">
        <v>13</v>
      </c>
      <c r="B22" s="3" t="s">
        <v>457</v>
      </c>
      <c r="C22" s="11"/>
      <c r="D22" s="2">
        <f t="shared" si="1"/>
        <v>0</v>
      </c>
      <c r="E22" s="12"/>
    </row>
    <row r="23" spans="1:5" ht="27.75" customHeight="1" x14ac:dyDescent="0.25">
      <c r="A23" s="2">
        <v>14</v>
      </c>
      <c r="B23" s="3" t="s">
        <v>458</v>
      </c>
      <c r="C23" s="11"/>
      <c r="D23" s="2">
        <f t="shared" si="1"/>
        <v>0</v>
      </c>
      <c r="E23" s="12"/>
    </row>
    <row r="24" spans="1:5" ht="27.75" customHeight="1" x14ac:dyDescent="0.25">
      <c r="A24" s="2">
        <v>15</v>
      </c>
      <c r="B24" s="3" t="s">
        <v>459</v>
      </c>
      <c r="C24" s="11"/>
      <c r="D24" s="2">
        <f t="shared" si="1"/>
        <v>0</v>
      </c>
      <c r="E24" s="12"/>
    </row>
    <row r="25" spans="1:5" ht="27.75" customHeight="1" x14ac:dyDescent="0.25">
      <c r="A25" s="2">
        <v>16</v>
      </c>
      <c r="B25" s="3" t="s">
        <v>460</v>
      </c>
      <c r="C25" s="11"/>
      <c r="D25" s="2">
        <f t="shared" si="1"/>
        <v>0</v>
      </c>
      <c r="E25" s="12"/>
    </row>
    <row r="26" spans="1:5" ht="27.75" customHeight="1" x14ac:dyDescent="0.25">
      <c r="A26" s="2">
        <v>17</v>
      </c>
      <c r="B26" s="3" t="s">
        <v>461</v>
      </c>
      <c r="C26" s="11"/>
      <c r="D26" s="2">
        <f t="shared" si="1"/>
        <v>0</v>
      </c>
      <c r="E26" s="12"/>
    </row>
    <row r="27" spans="1:5" ht="27.75" customHeight="1" x14ac:dyDescent="0.25">
      <c r="A27" s="2">
        <v>18</v>
      </c>
      <c r="B27" s="3" t="s">
        <v>462</v>
      </c>
      <c r="C27" s="11"/>
      <c r="D27" s="2">
        <f t="shared" si="1"/>
        <v>0</v>
      </c>
      <c r="E27" s="12"/>
    </row>
    <row r="28" spans="1:5" ht="27.75" customHeight="1" x14ac:dyDescent="0.25">
      <c r="A28" s="2">
        <v>19</v>
      </c>
      <c r="B28" s="3" t="s">
        <v>463</v>
      </c>
      <c r="C28" s="11"/>
      <c r="D28" s="2">
        <f t="shared" si="1"/>
        <v>0</v>
      </c>
      <c r="E28" s="12"/>
    </row>
    <row r="29" spans="1:5" ht="27.75" customHeight="1" x14ac:dyDescent="0.25">
      <c r="A29" s="2">
        <v>20</v>
      </c>
      <c r="B29" s="3" t="s">
        <v>464</v>
      </c>
      <c r="C29" s="11"/>
      <c r="D29" s="2">
        <f t="shared" si="1"/>
        <v>0</v>
      </c>
      <c r="E29" s="12"/>
    </row>
    <row r="30" spans="1:5" x14ac:dyDescent="0.25">
      <c r="A30" s="38" t="s">
        <v>149</v>
      </c>
      <c r="B30" s="38"/>
      <c r="C30" s="38"/>
      <c r="D30" s="15">
        <f>SUM(D20:D29)</f>
        <v>0</v>
      </c>
      <c r="E30" s="16"/>
    </row>
    <row r="31" spans="1:5" x14ac:dyDescent="0.25">
      <c r="A31" s="37" t="s">
        <v>150</v>
      </c>
      <c r="B31" s="37"/>
      <c r="C31" s="37"/>
      <c r="D31" s="37"/>
      <c r="E31" s="37"/>
    </row>
    <row r="32" spans="1:5" ht="27.75" customHeight="1" x14ac:dyDescent="0.25">
      <c r="A32" s="2">
        <v>21</v>
      </c>
      <c r="B32" s="3" t="s">
        <v>465</v>
      </c>
      <c r="C32" s="11"/>
      <c r="D32" s="2">
        <f t="shared" ref="D32:D41" si="2">IF(C32="Yes",2,0)</f>
        <v>0</v>
      </c>
      <c r="E32" s="12"/>
    </row>
    <row r="33" spans="1:5" ht="27.75" customHeight="1" x14ac:dyDescent="0.25">
      <c r="A33" s="2">
        <v>22</v>
      </c>
      <c r="B33" s="3" t="s">
        <v>466</v>
      </c>
      <c r="C33" s="11"/>
      <c r="D33" s="2">
        <f t="shared" si="2"/>
        <v>0</v>
      </c>
      <c r="E33" s="12"/>
    </row>
    <row r="34" spans="1:5" ht="27.75" customHeight="1" x14ac:dyDescent="0.25">
      <c r="A34" s="2">
        <v>23</v>
      </c>
      <c r="B34" s="3" t="s">
        <v>467</v>
      </c>
      <c r="C34" s="11"/>
      <c r="D34" s="2">
        <f t="shared" si="2"/>
        <v>0</v>
      </c>
      <c r="E34" s="12"/>
    </row>
    <row r="35" spans="1:5" ht="27.75" customHeight="1" x14ac:dyDescent="0.25">
      <c r="A35" s="2">
        <v>24</v>
      </c>
      <c r="B35" s="3" t="s">
        <v>468</v>
      </c>
      <c r="C35" s="11"/>
      <c r="D35" s="2">
        <f t="shared" si="2"/>
        <v>0</v>
      </c>
      <c r="E35" s="12"/>
    </row>
    <row r="36" spans="1:5" ht="27.75" customHeight="1" x14ac:dyDescent="0.25">
      <c r="A36" s="2">
        <v>25</v>
      </c>
      <c r="B36" s="3" t="s">
        <v>469</v>
      </c>
      <c r="C36" s="11"/>
      <c r="D36" s="2">
        <f t="shared" si="2"/>
        <v>0</v>
      </c>
      <c r="E36" s="12"/>
    </row>
    <row r="37" spans="1:5" ht="27.75" customHeight="1" x14ac:dyDescent="0.25">
      <c r="A37" s="2">
        <v>26</v>
      </c>
      <c r="B37" s="3" t="s">
        <v>470</v>
      </c>
      <c r="C37" s="11"/>
      <c r="D37" s="2">
        <f t="shared" si="2"/>
        <v>0</v>
      </c>
      <c r="E37" s="12"/>
    </row>
    <row r="38" spans="1:5" ht="27.75" customHeight="1" x14ac:dyDescent="0.25">
      <c r="A38" s="2">
        <v>27</v>
      </c>
      <c r="B38" s="3" t="s">
        <v>471</v>
      </c>
      <c r="C38" s="11"/>
      <c r="D38" s="2">
        <f t="shared" si="2"/>
        <v>0</v>
      </c>
      <c r="E38" s="12"/>
    </row>
    <row r="39" spans="1:5" ht="27.75" customHeight="1" x14ac:dyDescent="0.25">
      <c r="A39" s="2">
        <v>28</v>
      </c>
      <c r="B39" s="3" t="s">
        <v>472</v>
      </c>
      <c r="C39" s="11"/>
      <c r="D39" s="2">
        <f t="shared" si="2"/>
        <v>0</v>
      </c>
      <c r="E39" s="12"/>
    </row>
    <row r="40" spans="1:5" ht="27.75" customHeight="1" x14ac:dyDescent="0.25">
      <c r="A40" s="2">
        <v>29</v>
      </c>
      <c r="B40" s="3" t="s">
        <v>473</v>
      </c>
      <c r="C40" s="11"/>
      <c r="D40" s="2">
        <f t="shared" si="2"/>
        <v>0</v>
      </c>
      <c r="E40" s="12"/>
    </row>
    <row r="41" spans="1:5" ht="27.75" customHeight="1" x14ac:dyDescent="0.25">
      <c r="A41" s="2">
        <v>30</v>
      </c>
      <c r="B41" s="3" t="s">
        <v>474</v>
      </c>
      <c r="C41" s="11"/>
      <c r="D41" s="2">
        <f t="shared" si="2"/>
        <v>0</v>
      </c>
      <c r="E41" s="12"/>
    </row>
    <row r="42" spans="1:5" x14ac:dyDescent="0.25">
      <c r="A42" s="38" t="s">
        <v>161</v>
      </c>
      <c r="B42" s="38"/>
      <c r="C42" s="38"/>
      <c r="D42" s="15">
        <f>SUM(D32:D41)</f>
        <v>0</v>
      </c>
      <c r="E42" s="16"/>
    </row>
    <row r="43" spans="1:5" x14ac:dyDescent="0.25">
      <c r="A43" s="37" t="s">
        <v>162</v>
      </c>
      <c r="B43" s="37"/>
      <c r="C43" s="37"/>
      <c r="D43" s="37"/>
      <c r="E43" s="37"/>
    </row>
    <row r="44" spans="1:5" ht="27.75" customHeight="1" x14ac:dyDescent="0.25">
      <c r="A44" s="2">
        <v>31</v>
      </c>
      <c r="B44" s="3" t="s">
        <v>475</v>
      </c>
      <c r="C44" s="11"/>
      <c r="D44" s="2">
        <f t="shared" ref="D44:D53" si="3">IF(C44="Yes",2,0)</f>
        <v>0</v>
      </c>
      <c r="E44" s="12"/>
    </row>
    <row r="45" spans="1:5" ht="27.75" customHeight="1" x14ac:dyDescent="0.25">
      <c r="A45" s="2">
        <v>32</v>
      </c>
      <c r="B45" s="3" t="s">
        <v>476</v>
      </c>
      <c r="C45" s="11"/>
      <c r="D45" s="2">
        <f t="shared" si="3"/>
        <v>0</v>
      </c>
      <c r="E45" s="12"/>
    </row>
    <row r="46" spans="1:5" ht="27.75" customHeight="1" x14ac:dyDescent="0.25">
      <c r="A46" s="2">
        <v>33</v>
      </c>
      <c r="B46" s="3" t="s">
        <v>477</v>
      </c>
      <c r="C46" s="11"/>
      <c r="D46" s="2">
        <f t="shared" si="3"/>
        <v>0</v>
      </c>
      <c r="E46" s="12"/>
    </row>
    <row r="47" spans="1:5" ht="27.75" customHeight="1" x14ac:dyDescent="0.25">
      <c r="A47" s="2">
        <v>34</v>
      </c>
      <c r="B47" s="3" t="s">
        <v>478</v>
      </c>
      <c r="C47" s="11"/>
      <c r="D47" s="2">
        <f t="shared" si="3"/>
        <v>0</v>
      </c>
      <c r="E47" s="12"/>
    </row>
    <row r="48" spans="1:5" ht="27.75" customHeight="1" x14ac:dyDescent="0.25">
      <c r="A48" s="2">
        <v>35</v>
      </c>
      <c r="B48" s="3" t="s">
        <v>479</v>
      </c>
      <c r="C48" s="11"/>
      <c r="D48" s="2">
        <f t="shared" si="3"/>
        <v>0</v>
      </c>
      <c r="E48" s="12"/>
    </row>
    <row r="49" spans="1:5" ht="27.75" customHeight="1" x14ac:dyDescent="0.25">
      <c r="A49" s="2">
        <v>36</v>
      </c>
      <c r="B49" s="3" t="s">
        <v>480</v>
      </c>
      <c r="C49" s="11"/>
      <c r="D49" s="2">
        <f t="shared" si="3"/>
        <v>0</v>
      </c>
      <c r="E49" s="12"/>
    </row>
    <row r="50" spans="1:5" ht="27.75" customHeight="1" x14ac:dyDescent="0.25">
      <c r="A50" s="2">
        <v>37</v>
      </c>
      <c r="B50" s="3" t="s">
        <v>481</v>
      </c>
      <c r="C50" s="11"/>
      <c r="D50" s="2">
        <f t="shared" si="3"/>
        <v>0</v>
      </c>
      <c r="E50" s="12"/>
    </row>
    <row r="51" spans="1:5" ht="27.75" customHeight="1" x14ac:dyDescent="0.25">
      <c r="A51" s="2">
        <v>38</v>
      </c>
      <c r="B51" s="3" t="s">
        <v>482</v>
      </c>
      <c r="C51" s="11"/>
      <c r="D51" s="2">
        <f t="shared" si="3"/>
        <v>0</v>
      </c>
      <c r="E51" s="12"/>
    </row>
    <row r="52" spans="1:5" ht="27.75" customHeight="1" x14ac:dyDescent="0.25">
      <c r="A52" s="2">
        <v>39</v>
      </c>
      <c r="B52" s="3" t="s">
        <v>483</v>
      </c>
      <c r="C52" s="11"/>
      <c r="D52" s="2">
        <f t="shared" si="3"/>
        <v>0</v>
      </c>
      <c r="E52" s="12"/>
    </row>
    <row r="53" spans="1:5" ht="27.75" customHeight="1" x14ac:dyDescent="0.25">
      <c r="A53" s="2">
        <v>40</v>
      </c>
      <c r="B53" s="3" t="s">
        <v>484</v>
      </c>
      <c r="C53" s="11"/>
      <c r="D53" s="2">
        <f t="shared" si="3"/>
        <v>0</v>
      </c>
      <c r="E53" s="12"/>
    </row>
    <row r="54" spans="1:5" x14ac:dyDescent="0.25">
      <c r="A54" s="38" t="s">
        <v>173</v>
      </c>
      <c r="B54" s="38"/>
      <c r="C54" s="38"/>
      <c r="D54" s="15">
        <f>SUM(D44:D53)</f>
        <v>0</v>
      </c>
      <c r="E54" s="16"/>
    </row>
    <row r="55" spans="1:5" x14ac:dyDescent="0.25">
      <c r="A55" s="37" t="s">
        <v>174</v>
      </c>
      <c r="B55" s="37"/>
      <c r="C55" s="37"/>
      <c r="D55" s="37"/>
      <c r="E55" s="37"/>
    </row>
    <row r="56" spans="1:5" ht="27.75" customHeight="1" x14ac:dyDescent="0.25">
      <c r="A56" s="2">
        <v>41</v>
      </c>
      <c r="B56" s="3" t="s">
        <v>485</v>
      </c>
      <c r="C56" s="11"/>
      <c r="D56" s="2">
        <f t="shared" ref="D56:D65" si="4">IF(C56="Yes",2,0)</f>
        <v>0</v>
      </c>
      <c r="E56" s="12"/>
    </row>
    <row r="57" spans="1:5" ht="27.75" customHeight="1" x14ac:dyDescent="0.25">
      <c r="A57" s="2">
        <v>42</v>
      </c>
      <c r="B57" s="3" t="s">
        <v>486</v>
      </c>
      <c r="C57" s="11"/>
      <c r="D57" s="2">
        <f t="shared" si="4"/>
        <v>0</v>
      </c>
      <c r="E57" s="12"/>
    </row>
    <row r="58" spans="1:5" ht="27.75" customHeight="1" x14ac:dyDescent="0.25">
      <c r="A58" s="2">
        <v>43</v>
      </c>
      <c r="B58" s="3" t="s">
        <v>487</v>
      </c>
      <c r="C58" s="11"/>
      <c r="D58" s="2">
        <f t="shared" si="4"/>
        <v>0</v>
      </c>
      <c r="E58" s="12"/>
    </row>
    <row r="59" spans="1:5" ht="27.75" customHeight="1" x14ac:dyDescent="0.25">
      <c r="A59" s="2">
        <v>44</v>
      </c>
      <c r="B59" s="3" t="s">
        <v>287</v>
      </c>
      <c r="C59" s="11"/>
      <c r="D59" s="2">
        <f t="shared" si="4"/>
        <v>0</v>
      </c>
      <c r="E59" s="12"/>
    </row>
    <row r="60" spans="1:5" ht="27.75" customHeight="1" x14ac:dyDescent="0.25">
      <c r="A60" s="2">
        <v>45</v>
      </c>
      <c r="B60" s="3" t="s">
        <v>488</v>
      </c>
      <c r="C60" s="11"/>
      <c r="D60" s="2">
        <f t="shared" si="4"/>
        <v>0</v>
      </c>
      <c r="E60" s="12"/>
    </row>
    <row r="61" spans="1:5" ht="27.75" customHeight="1" x14ac:dyDescent="0.25">
      <c r="A61" s="2">
        <v>46</v>
      </c>
      <c r="B61" s="3" t="s">
        <v>489</v>
      </c>
      <c r="C61" s="11"/>
      <c r="D61" s="2">
        <f t="shared" si="4"/>
        <v>0</v>
      </c>
      <c r="E61" s="12"/>
    </row>
    <row r="62" spans="1:5" ht="27.75" customHeight="1" x14ac:dyDescent="0.25">
      <c r="A62" s="2">
        <v>47</v>
      </c>
      <c r="B62" s="3" t="s">
        <v>490</v>
      </c>
      <c r="C62" s="11"/>
      <c r="D62" s="2">
        <f t="shared" si="4"/>
        <v>0</v>
      </c>
      <c r="E62" s="12"/>
    </row>
    <row r="63" spans="1:5" ht="27.75" customHeight="1" x14ac:dyDescent="0.25">
      <c r="A63" s="2">
        <v>48</v>
      </c>
      <c r="B63" s="3" t="s">
        <v>491</v>
      </c>
      <c r="C63" s="11"/>
      <c r="D63" s="2">
        <f t="shared" si="4"/>
        <v>0</v>
      </c>
      <c r="E63" s="12"/>
    </row>
    <row r="64" spans="1:5" ht="27.75" customHeight="1" x14ac:dyDescent="0.25">
      <c r="A64" s="2">
        <v>49</v>
      </c>
      <c r="B64" s="3" t="s">
        <v>492</v>
      </c>
      <c r="C64" s="11"/>
      <c r="D64" s="2">
        <f t="shared" si="4"/>
        <v>0</v>
      </c>
      <c r="E64" s="12"/>
    </row>
    <row r="65" spans="1:5" ht="27.75" customHeight="1" x14ac:dyDescent="0.25">
      <c r="A65" s="2">
        <v>50</v>
      </c>
      <c r="B65" s="3" t="s">
        <v>493</v>
      </c>
      <c r="C65" s="11"/>
      <c r="D65" s="2">
        <f t="shared" si="4"/>
        <v>0</v>
      </c>
      <c r="E65" s="12"/>
    </row>
    <row r="66" spans="1:5" x14ac:dyDescent="0.25">
      <c r="A66" s="38" t="s">
        <v>185</v>
      </c>
      <c r="B66" s="38"/>
      <c r="C66" s="38"/>
      <c r="D66" s="15">
        <f>SUM(D56:D65)</f>
        <v>0</v>
      </c>
      <c r="E66" s="16"/>
    </row>
    <row r="67" spans="1:5" x14ac:dyDescent="0.25">
      <c r="A67" s="39" t="s">
        <v>186</v>
      </c>
      <c r="B67" s="39"/>
      <c r="C67" s="39"/>
      <c r="D67" s="17">
        <f>D18+D30+D42+D54+D66</f>
        <v>0</v>
      </c>
      <c r="E67" s="10"/>
    </row>
    <row r="68" spans="1:5" x14ac:dyDescent="0.25">
      <c r="A68" s="40" t="s">
        <v>187</v>
      </c>
      <c r="B68" s="40"/>
      <c r="C68" s="40"/>
      <c r="D68" s="18">
        <f>D67/100</f>
        <v>0</v>
      </c>
      <c r="E68" s="19"/>
    </row>
    <row r="69" spans="1:5" x14ac:dyDescent="0.25">
      <c r="A69" s="40" t="s">
        <v>188</v>
      </c>
      <c r="B69" s="40"/>
      <c r="C69" s="40"/>
      <c r="D69" s="21" t="str">
        <f>IF(D68&gt;=0.9,"Outstanding",IF(D68&gt;=0.75,"On Track",IF(D68&gt;=0.6,"Improving","Needs Support")))</f>
        <v>Needs Support</v>
      </c>
      <c r="E69" s="19"/>
    </row>
    <row r="71" spans="1:5" x14ac:dyDescent="0.25">
      <c r="A71" s="36" t="s">
        <v>189</v>
      </c>
      <c r="B71" s="36"/>
      <c r="C71" s="36"/>
      <c r="D71" s="36"/>
      <c r="E71" s="36"/>
    </row>
    <row r="73" spans="1:5" x14ac:dyDescent="0.25">
      <c r="B73" s="20" t="s">
        <v>190</v>
      </c>
      <c r="E73" s="20" t="s">
        <v>191</v>
      </c>
    </row>
    <row r="74" spans="1:5" x14ac:dyDescent="0.25">
      <c r="A74" s="22" t="s">
        <v>595</v>
      </c>
    </row>
  </sheetData>
  <mergeCells count="16">
    <mergeCell ref="A1:E1"/>
    <mergeCell ref="E2:E4"/>
    <mergeCell ref="A7:E7"/>
    <mergeCell ref="A18:C18"/>
    <mergeCell ref="A19:E19"/>
    <mergeCell ref="A30:C30"/>
    <mergeCell ref="A31:E31"/>
    <mergeCell ref="A42:C42"/>
    <mergeCell ref="A43:E43"/>
    <mergeCell ref="A54:C54"/>
    <mergeCell ref="A71:E71"/>
    <mergeCell ref="A55:E55"/>
    <mergeCell ref="A66:C66"/>
    <mergeCell ref="A67:C67"/>
    <mergeCell ref="A68:C68"/>
    <mergeCell ref="A69:C69"/>
  </mergeCells>
  <dataValidations count="1">
    <dataValidation type="list" allowBlank="1" showErrorMessage="1" errorTitle="Invalid entry" error="Please select Yes or No" sqref="C8:C17 C20:C29 C32:C41 C44:C53 C56:C65" xr:uid="{00000000-0002-0000-0A00-000000000000}">
      <formula1>"Yes,No"</formula1>
      <formula2>0</formula2>
    </dataValidation>
  </dataValidations>
  <pageMargins left="0.75" right="0.75" top="1" bottom="1" header="0.511811023622047" footer="0.511811023622047"/>
  <pageSetup fitToHeight="0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E74"/>
  <sheetViews>
    <sheetView showGridLines="0" topLeftCell="A66" zoomScaleNormal="100" workbookViewId="0">
      <selection activeCell="A74" sqref="A74"/>
    </sheetView>
  </sheetViews>
  <sheetFormatPr defaultColWidth="8.5703125" defaultRowHeight="15" x14ac:dyDescent="0.25"/>
  <cols>
    <col min="1" max="1" width="6" customWidth="1"/>
    <col min="2" max="2" width="68" customWidth="1"/>
    <col min="3" max="3" width="12" customWidth="1"/>
    <col min="4" max="4" width="9" customWidth="1"/>
    <col min="5" max="5" width="32" customWidth="1"/>
  </cols>
  <sheetData>
    <row r="1" spans="1:5" ht="25.5" customHeight="1" x14ac:dyDescent="0.25">
      <c r="A1" s="29" t="s">
        <v>494</v>
      </c>
      <c r="B1" s="29"/>
      <c r="C1" s="29"/>
      <c r="D1" s="29"/>
      <c r="E1" s="29"/>
    </row>
    <row r="2" spans="1:5" ht="15" customHeight="1" x14ac:dyDescent="0.25">
      <c r="A2" s="14" t="s">
        <v>120</v>
      </c>
      <c r="B2" s="13"/>
      <c r="C2" s="14" t="s">
        <v>121</v>
      </c>
      <c r="D2" s="13"/>
      <c r="E2" s="41" t="s">
        <v>122</v>
      </c>
    </row>
    <row r="3" spans="1:5" x14ac:dyDescent="0.25">
      <c r="A3" s="14" t="s">
        <v>123</v>
      </c>
      <c r="B3" s="13" t="s">
        <v>84</v>
      </c>
      <c r="C3" s="14" t="s">
        <v>124</v>
      </c>
      <c r="D3" s="13"/>
      <c r="E3" s="41"/>
    </row>
    <row r="4" spans="1:5" x14ac:dyDescent="0.25">
      <c r="A4" s="14" t="s">
        <v>125</v>
      </c>
      <c r="B4" s="13"/>
      <c r="C4" s="14" t="s">
        <v>126</v>
      </c>
      <c r="D4" s="13"/>
      <c r="E4" s="41"/>
    </row>
    <row r="6" spans="1:5" ht="19.5" customHeight="1" x14ac:dyDescent="0.25">
      <c r="A6" s="1" t="s">
        <v>2</v>
      </c>
      <c r="B6" s="1" t="s">
        <v>109</v>
      </c>
      <c r="C6" s="1" t="s">
        <v>110</v>
      </c>
      <c r="D6" s="1" t="s">
        <v>111</v>
      </c>
      <c r="E6" s="1" t="s">
        <v>112</v>
      </c>
    </row>
    <row r="7" spans="1:5" x14ac:dyDescent="0.25">
      <c r="A7" s="37" t="s">
        <v>127</v>
      </c>
      <c r="B7" s="37"/>
      <c r="C7" s="37"/>
      <c r="D7" s="37"/>
      <c r="E7" s="37"/>
    </row>
    <row r="8" spans="1:5" ht="27.75" customHeight="1" x14ac:dyDescent="0.25">
      <c r="A8" s="2">
        <v>1</v>
      </c>
      <c r="B8" s="3" t="s">
        <v>495</v>
      </c>
      <c r="C8" s="11"/>
      <c r="D8" s="2">
        <f t="shared" ref="D8:D17" si="0">IF(C8="Yes",2,0)</f>
        <v>0</v>
      </c>
      <c r="E8" s="12"/>
    </row>
    <row r="9" spans="1:5" ht="27.75" customHeight="1" x14ac:dyDescent="0.25">
      <c r="A9" s="2">
        <v>2</v>
      </c>
      <c r="B9" s="3" t="s">
        <v>496</v>
      </c>
      <c r="C9" s="11"/>
      <c r="D9" s="2">
        <f t="shared" si="0"/>
        <v>0</v>
      </c>
      <c r="E9" s="12"/>
    </row>
    <row r="10" spans="1:5" ht="27.75" customHeight="1" x14ac:dyDescent="0.25">
      <c r="A10" s="2">
        <v>3</v>
      </c>
      <c r="B10" s="3" t="s">
        <v>497</v>
      </c>
      <c r="C10" s="11"/>
      <c r="D10" s="2">
        <f t="shared" si="0"/>
        <v>0</v>
      </c>
      <c r="E10" s="12"/>
    </row>
    <row r="11" spans="1:5" ht="27.75" customHeight="1" x14ac:dyDescent="0.25">
      <c r="A11" s="2">
        <v>4</v>
      </c>
      <c r="B11" s="3" t="s">
        <v>498</v>
      </c>
      <c r="C11" s="11"/>
      <c r="D11" s="2">
        <f t="shared" si="0"/>
        <v>0</v>
      </c>
      <c r="E11" s="12"/>
    </row>
    <row r="12" spans="1:5" ht="27.75" customHeight="1" x14ac:dyDescent="0.25">
      <c r="A12" s="2">
        <v>5</v>
      </c>
      <c r="B12" s="3" t="s">
        <v>499</v>
      </c>
      <c r="C12" s="11"/>
      <c r="D12" s="2">
        <f t="shared" si="0"/>
        <v>0</v>
      </c>
      <c r="E12" s="12"/>
    </row>
    <row r="13" spans="1:5" ht="27.75" customHeight="1" x14ac:dyDescent="0.25">
      <c r="A13" s="2">
        <v>6</v>
      </c>
      <c r="B13" s="3" t="s">
        <v>500</v>
      </c>
      <c r="C13" s="11"/>
      <c r="D13" s="2">
        <f t="shared" si="0"/>
        <v>0</v>
      </c>
      <c r="E13" s="12"/>
    </row>
    <row r="14" spans="1:5" ht="27.75" customHeight="1" x14ac:dyDescent="0.25">
      <c r="A14" s="2">
        <v>7</v>
      </c>
      <c r="B14" s="3" t="s">
        <v>501</v>
      </c>
      <c r="C14" s="11"/>
      <c r="D14" s="2">
        <f t="shared" si="0"/>
        <v>0</v>
      </c>
      <c r="E14" s="12"/>
    </row>
    <row r="15" spans="1:5" ht="27.75" customHeight="1" x14ac:dyDescent="0.25">
      <c r="A15" s="2">
        <v>8</v>
      </c>
      <c r="B15" s="3" t="s">
        <v>502</v>
      </c>
      <c r="C15" s="11"/>
      <c r="D15" s="2">
        <f t="shared" si="0"/>
        <v>0</v>
      </c>
      <c r="E15" s="12"/>
    </row>
    <row r="16" spans="1:5" ht="27.75" customHeight="1" x14ac:dyDescent="0.25">
      <c r="A16" s="2">
        <v>9</v>
      </c>
      <c r="B16" s="3" t="s">
        <v>354</v>
      </c>
      <c r="C16" s="11"/>
      <c r="D16" s="2">
        <f t="shared" si="0"/>
        <v>0</v>
      </c>
      <c r="E16" s="12"/>
    </row>
    <row r="17" spans="1:5" ht="27.75" customHeight="1" x14ac:dyDescent="0.25">
      <c r="A17" s="2">
        <v>10</v>
      </c>
      <c r="B17" s="3" t="s">
        <v>503</v>
      </c>
      <c r="C17" s="11"/>
      <c r="D17" s="2">
        <f t="shared" si="0"/>
        <v>0</v>
      </c>
      <c r="E17" s="12"/>
    </row>
    <row r="18" spans="1:5" x14ac:dyDescent="0.25">
      <c r="A18" s="38" t="s">
        <v>137</v>
      </c>
      <c r="B18" s="38"/>
      <c r="C18" s="38"/>
      <c r="D18" s="15">
        <f>SUM(D8:D17)</f>
        <v>0</v>
      </c>
      <c r="E18" s="16"/>
    </row>
    <row r="19" spans="1:5" x14ac:dyDescent="0.25">
      <c r="A19" s="37" t="s">
        <v>138</v>
      </c>
      <c r="B19" s="37"/>
      <c r="C19" s="37"/>
      <c r="D19" s="37"/>
      <c r="E19" s="37"/>
    </row>
    <row r="20" spans="1:5" ht="27.75" customHeight="1" x14ac:dyDescent="0.25">
      <c r="A20" s="2">
        <v>11</v>
      </c>
      <c r="B20" s="3" t="s">
        <v>504</v>
      </c>
      <c r="C20" s="11"/>
      <c r="D20" s="2">
        <f t="shared" ref="D20:D29" si="1">IF(C20="Yes",2,0)</f>
        <v>0</v>
      </c>
      <c r="E20" s="12"/>
    </row>
    <row r="21" spans="1:5" ht="27.75" customHeight="1" x14ac:dyDescent="0.25">
      <c r="A21" s="2">
        <v>12</v>
      </c>
      <c r="B21" s="3" t="s">
        <v>505</v>
      </c>
      <c r="C21" s="11"/>
      <c r="D21" s="2">
        <f t="shared" si="1"/>
        <v>0</v>
      </c>
      <c r="E21" s="12"/>
    </row>
    <row r="22" spans="1:5" ht="27.75" customHeight="1" x14ac:dyDescent="0.25">
      <c r="A22" s="2">
        <v>13</v>
      </c>
      <c r="B22" s="3" t="s">
        <v>506</v>
      </c>
      <c r="C22" s="11"/>
      <c r="D22" s="2">
        <f t="shared" si="1"/>
        <v>0</v>
      </c>
      <c r="E22" s="12"/>
    </row>
    <row r="23" spans="1:5" ht="27.75" customHeight="1" x14ac:dyDescent="0.25">
      <c r="A23" s="2">
        <v>14</v>
      </c>
      <c r="B23" s="3" t="s">
        <v>507</v>
      </c>
      <c r="C23" s="11"/>
      <c r="D23" s="2">
        <f t="shared" si="1"/>
        <v>0</v>
      </c>
      <c r="E23" s="12"/>
    </row>
    <row r="24" spans="1:5" ht="27.75" customHeight="1" x14ac:dyDescent="0.25">
      <c r="A24" s="2">
        <v>15</v>
      </c>
      <c r="B24" s="3" t="s">
        <v>508</v>
      </c>
      <c r="C24" s="11"/>
      <c r="D24" s="2">
        <f t="shared" si="1"/>
        <v>0</v>
      </c>
      <c r="E24" s="12"/>
    </row>
    <row r="25" spans="1:5" ht="27.75" customHeight="1" x14ac:dyDescent="0.25">
      <c r="A25" s="2">
        <v>16</v>
      </c>
      <c r="B25" s="3" t="s">
        <v>509</v>
      </c>
      <c r="C25" s="11"/>
      <c r="D25" s="2">
        <f t="shared" si="1"/>
        <v>0</v>
      </c>
      <c r="E25" s="12"/>
    </row>
    <row r="26" spans="1:5" ht="27.75" customHeight="1" x14ac:dyDescent="0.25">
      <c r="A26" s="2">
        <v>17</v>
      </c>
      <c r="B26" s="3" t="s">
        <v>510</v>
      </c>
      <c r="C26" s="11"/>
      <c r="D26" s="2">
        <f t="shared" si="1"/>
        <v>0</v>
      </c>
      <c r="E26" s="12"/>
    </row>
    <row r="27" spans="1:5" ht="27.75" customHeight="1" x14ac:dyDescent="0.25">
      <c r="A27" s="2">
        <v>18</v>
      </c>
      <c r="B27" s="3" t="s">
        <v>511</v>
      </c>
      <c r="C27" s="11"/>
      <c r="D27" s="2">
        <f t="shared" si="1"/>
        <v>0</v>
      </c>
      <c r="E27" s="12"/>
    </row>
    <row r="28" spans="1:5" ht="27.75" customHeight="1" x14ac:dyDescent="0.25">
      <c r="A28" s="2">
        <v>19</v>
      </c>
      <c r="B28" s="3" t="s">
        <v>512</v>
      </c>
      <c r="C28" s="11"/>
      <c r="D28" s="2">
        <f t="shared" si="1"/>
        <v>0</v>
      </c>
      <c r="E28" s="12"/>
    </row>
    <row r="29" spans="1:5" ht="27.75" customHeight="1" x14ac:dyDescent="0.25">
      <c r="A29" s="2">
        <v>20</v>
      </c>
      <c r="B29" s="3" t="s">
        <v>513</v>
      </c>
      <c r="C29" s="11"/>
      <c r="D29" s="2">
        <f t="shared" si="1"/>
        <v>0</v>
      </c>
      <c r="E29" s="12"/>
    </row>
    <row r="30" spans="1:5" x14ac:dyDescent="0.25">
      <c r="A30" s="38" t="s">
        <v>149</v>
      </c>
      <c r="B30" s="38"/>
      <c r="C30" s="38"/>
      <c r="D30" s="15">
        <f>SUM(D20:D29)</f>
        <v>0</v>
      </c>
      <c r="E30" s="16"/>
    </row>
    <row r="31" spans="1:5" x14ac:dyDescent="0.25">
      <c r="A31" s="37" t="s">
        <v>150</v>
      </c>
      <c r="B31" s="37"/>
      <c r="C31" s="37"/>
      <c r="D31" s="37"/>
      <c r="E31" s="37"/>
    </row>
    <row r="32" spans="1:5" ht="27.75" customHeight="1" x14ac:dyDescent="0.25">
      <c r="A32" s="2">
        <v>21</v>
      </c>
      <c r="B32" s="3" t="s">
        <v>514</v>
      </c>
      <c r="C32" s="11"/>
      <c r="D32" s="2">
        <f t="shared" ref="D32:D41" si="2">IF(C32="Yes",2,0)</f>
        <v>0</v>
      </c>
      <c r="E32" s="12"/>
    </row>
    <row r="33" spans="1:5" ht="27.75" customHeight="1" x14ac:dyDescent="0.25">
      <c r="A33" s="2">
        <v>22</v>
      </c>
      <c r="B33" s="3" t="s">
        <v>515</v>
      </c>
      <c r="C33" s="11"/>
      <c r="D33" s="2">
        <f t="shared" si="2"/>
        <v>0</v>
      </c>
      <c r="E33" s="12"/>
    </row>
    <row r="34" spans="1:5" ht="27.75" customHeight="1" x14ac:dyDescent="0.25">
      <c r="A34" s="2">
        <v>23</v>
      </c>
      <c r="B34" s="3" t="s">
        <v>516</v>
      </c>
      <c r="C34" s="11"/>
      <c r="D34" s="2">
        <f t="shared" si="2"/>
        <v>0</v>
      </c>
      <c r="E34" s="12"/>
    </row>
    <row r="35" spans="1:5" ht="27.75" customHeight="1" x14ac:dyDescent="0.25">
      <c r="A35" s="2">
        <v>24</v>
      </c>
      <c r="B35" s="3" t="s">
        <v>517</v>
      </c>
      <c r="C35" s="11"/>
      <c r="D35" s="2">
        <f t="shared" si="2"/>
        <v>0</v>
      </c>
      <c r="E35" s="12"/>
    </row>
    <row r="36" spans="1:5" ht="27.75" customHeight="1" x14ac:dyDescent="0.25">
      <c r="A36" s="2">
        <v>25</v>
      </c>
      <c r="B36" s="3" t="s">
        <v>518</v>
      </c>
      <c r="C36" s="11"/>
      <c r="D36" s="2">
        <f t="shared" si="2"/>
        <v>0</v>
      </c>
      <c r="E36" s="12"/>
    </row>
    <row r="37" spans="1:5" ht="27.75" customHeight="1" x14ac:dyDescent="0.25">
      <c r="A37" s="2">
        <v>26</v>
      </c>
      <c r="B37" s="3" t="s">
        <v>519</v>
      </c>
      <c r="C37" s="11"/>
      <c r="D37" s="2">
        <f t="shared" si="2"/>
        <v>0</v>
      </c>
      <c r="E37" s="12"/>
    </row>
    <row r="38" spans="1:5" ht="27.75" customHeight="1" x14ac:dyDescent="0.25">
      <c r="A38" s="2">
        <v>27</v>
      </c>
      <c r="B38" s="3" t="s">
        <v>520</v>
      </c>
      <c r="C38" s="11"/>
      <c r="D38" s="2">
        <f t="shared" si="2"/>
        <v>0</v>
      </c>
      <c r="E38" s="12"/>
    </row>
    <row r="39" spans="1:5" ht="27.75" customHeight="1" x14ac:dyDescent="0.25">
      <c r="A39" s="2">
        <v>28</v>
      </c>
      <c r="B39" s="3" t="s">
        <v>521</v>
      </c>
      <c r="C39" s="11"/>
      <c r="D39" s="2">
        <f t="shared" si="2"/>
        <v>0</v>
      </c>
      <c r="E39" s="12"/>
    </row>
    <row r="40" spans="1:5" ht="27.75" customHeight="1" x14ac:dyDescent="0.25">
      <c r="A40" s="2">
        <v>29</v>
      </c>
      <c r="B40" s="3" t="s">
        <v>522</v>
      </c>
      <c r="C40" s="11"/>
      <c r="D40" s="2">
        <f t="shared" si="2"/>
        <v>0</v>
      </c>
      <c r="E40" s="12"/>
    </row>
    <row r="41" spans="1:5" ht="27.75" customHeight="1" x14ac:dyDescent="0.25">
      <c r="A41" s="2">
        <v>30</v>
      </c>
      <c r="B41" s="3" t="s">
        <v>523</v>
      </c>
      <c r="C41" s="11"/>
      <c r="D41" s="2">
        <f t="shared" si="2"/>
        <v>0</v>
      </c>
      <c r="E41" s="12"/>
    </row>
    <row r="42" spans="1:5" x14ac:dyDescent="0.25">
      <c r="A42" s="38" t="s">
        <v>161</v>
      </c>
      <c r="B42" s="38"/>
      <c r="C42" s="38"/>
      <c r="D42" s="15">
        <f>SUM(D32:D41)</f>
        <v>0</v>
      </c>
      <c r="E42" s="16"/>
    </row>
    <row r="43" spans="1:5" x14ac:dyDescent="0.25">
      <c r="A43" s="37" t="s">
        <v>162</v>
      </c>
      <c r="B43" s="37"/>
      <c r="C43" s="37"/>
      <c r="D43" s="37"/>
      <c r="E43" s="37"/>
    </row>
    <row r="44" spans="1:5" ht="27.75" customHeight="1" x14ac:dyDescent="0.25">
      <c r="A44" s="2">
        <v>31</v>
      </c>
      <c r="B44" s="3" t="s">
        <v>524</v>
      </c>
      <c r="C44" s="11"/>
      <c r="D44" s="2">
        <f t="shared" ref="D44:D53" si="3">IF(C44="Yes",2,0)</f>
        <v>0</v>
      </c>
      <c r="E44" s="12"/>
    </row>
    <row r="45" spans="1:5" ht="27.75" customHeight="1" x14ac:dyDescent="0.25">
      <c r="A45" s="2">
        <v>32</v>
      </c>
      <c r="B45" s="3" t="s">
        <v>525</v>
      </c>
      <c r="C45" s="11"/>
      <c r="D45" s="2">
        <f t="shared" si="3"/>
        <v>0</v>
      </c>
      <c r="E45" s="12"/>
    </row>
    <row r="46" spans="1:5" ht="27.75" customHeight="1" x14ac:dyDescent="0.25">
      <c r="A46" s="2">
        <v>33</v>
      </c>
      <c r="B46" s="3" t="s">
        <v>526</v>
      </c>
      <c r="C46" s="11"/>
      <c r="D46" s="2">
        <f t="shared" si="3"/>
        <v>0</v>
      </c>
      <c r="E46" s="12"/>
    </row>
    <row r="47" spans="1:5" ht="27.75" customHeight="1" x14ac:dyDescent="0.25">
      <c r="A47" s="2">
        <v>34</v>
      </c>
      <c r="B47" s="3" t="s">
        <v>527</v>
      </c>
      <c r="C47" s="11"/>
      <c r="D47" s="2">
        <f t="shared" si="3"/>
        <v>0</v>
      </c>
      <c r="E47" s="12"/>
    </row>
    <row r="48" spans="1:5" ht="27.75" customHeight="1" x14ac:dyDescent="0.25">
      <c r="A48" s="2">
        <v>35</v>
      </c>
      <c r="B48" s="3" t="s">
        <v>528</v>
      </c>
      <c r="C48" s="11"/>
      <c r="D48" s="2">
        <f t="shared" si="3"/>
        <v>0</v>
      </c>
      <c r="E48" s="12"/>
    </row>
    <row r="49" spans="1:5" ht="27.75" customHeight="1" x14ac:dyDescent="0.25">
      <c r="A49" s="2">
        <v>36</v>
      </c>
      <c r="B49" s="3" t="s">
        <v>529</v>
      </c>
      <c r="C49" s="11"/>
      <c r="D49" s="2">
        <f t="shared" si="3"/>
        <v>0</v>
      </c>
      <c r="E49" s="12"/>
    </row>
    <row r="50" spans="1:5" ht="27.75" customHeight="1" x14ac:dyDescent="0.25">
      <c r="A50" s="2">
        <v>37</v>
      </c>
      <c r="B50" s="3" t="s">
        <v>530</v>
      </c>
      <c r="C50" s="11"/>
      <c r="D50" s="2">
        <f t="shared" si="3"/>
        <v>0</v>
      </c>
      <c r="E50" s="12"/>
    </row>
    <row r="51" spans="1:5" ht="27.75" customHeight="1" x14ac:dyDescent="0.25">
      <c r="A51" s="2">
        <v>38</v>
      </c>
      <c r="B51" s="3" t="s">
        <v>531</v>
      </c>
      <c r="C51" s="11"/>
      <c r="D51" s="2">
        <f t="shared" si="3"/>
        <v>0</v>
      </c>
      <c r="E51" s="12"/>
    </row>
    <row r="52" spans="1:5" ht="27.75" customHeight="1" x14ac:dyDescent="0.25">
      <c r="A52" s="2">
        <v>39</v>
      </c>
      <c r="B52" s="3" t="s">
        <v>532</v>
      </c>
      <c r="C52" s="11"/>
      <c r="D52" s="2">
        <f t="shared" si="3"/>
        <v>0</v>
      </c>
      <c r="E52" s="12"/>
    </row>
    <row r="53" spans="1:5" ht="27.75" customHeight="1" x14ac:dyDescent="0.25">
      <c r="A53" s="2">
        <v>40</v>
      </c>
      <c r="B53" s="3" t="s">
        <v>533</v>
      </c>
      <c r="C53" s="11"/>
      <c r="D53" s="2">
        <f t="shared" si="3"/>
        <v>0</v>
      </c>
      <c r="E53" s="12"/>
    </row>
    <row r="54" spans="1:5" x14ac:dyDescent="0.25">
      <c r="A54" s="38" t="s">
        <v>173</v>
      </c>
      <c r="B54" s="38"/>
      <c r="C54" s="38"/>
      <c r="D54" s="15">
        <f>SUM(D44:D53)</f>
        <v>0</v>
      </c>
      <c r="E54" s="16"/>
    </row>
    <row r="55" spans="1:5" x14ac:dyDescent="0.25">
      <c r="A55" s="37" t="s">
        <v>174</v>
      </c>
      <c r="B55" s="37"/>
      <c r="C55" s="37"/>
      <c r="D55" s="37"/>
      <c r="E55" s="37"/>
    </row>
    <row r="56" spans="1:5" ht="27.75" customHeight="1" x14ac:dyDescent="0.25">
      <c r="A56" s="2">
        <v>41</v>
      </c>
      <c r="B56" s="3" t="s">
        <v>534</v>
      </c>
      <c r="C56" s="11"/>
      <c r="D56" s="2">
        <f t="shared" ref="D56:D65" si="4">IF(C56="Yes",2,0)</f>
        <v>0</v>
      </c>
      <c r="E56" s="12"/>
    </row>
    <row r="57" spans="1:5" ht="27.75" customHeight="1" x14ac:dyDescent="0.25">
      <c r="A57" s="2">
        <v>42</v>
      </c>
      <c r="B57" s="3" t="s">
        <v>535</v>
      </c>
      <c r="C57" s="11"/>
      <c r="D57" s="2">
        <f t="shared" si="4"/>
        <v>0</v>
      </c>
      <c r="E57" s="12"/>
    </row>
    <row r="58" spans="1:5" ht="27.75" customHeight="1" x14ac:dyDescent="0.25">
      <c r="A58" s="2">
        <v>43</v>
      </c>
      <c r="B58" s="3" t="s">
        <v>536</v>
      </c>
      <c r="C58" s="11"/>
      <c r="D58" s="2">
        <f t="shared" si="4"/>
        <v>0</v>
      </c>
      <c r="E58" s="12"/>
    </row>
    <row r="59" spans="1:5" ht="27.75" customHeight="1" x14ac:dyDescent="0.25">
      <c r="A59" s="2">
        <v>44</v>
      </c>
      <c r="B59" s="3" t="s">
        <v>537</v>
      </c>
      <c r="C59" s="11"/>
      <c r="D59" s="2">
        <f t="shared" si="4"/>
        <v>0</v>
      </c>
      <c r="E59" s="12"/>
    </row>
    <row r="60" spans="1:5" ht="27.75" customHeight="1" x14ac:dyDescent="0.25">
      <c r="A60" s="2">
        <v>45</v>
      </c>
      <c r="B60" s="3" t="s">
        <v>287</v>
      </c>
      <c r="C60" s="11"/>
      <c r="D60" s="2">
        <f t="shared" si="4"/>
        <v>0</v>
      </c>
      <c r="E60" s="12"/>
    </row>
    <row r="61" spans="1:5" ht="27.75" customHeight="1" x14ac:dyDescent="0.25">
      <c r="A61" s="2">
        <v>46</v>
      </c>
      <c r="B61" s="3" t="s">
        <v>538</v>
      </c>
      <c r="C61" s="11"/>
      <c r="D61" s="2">
        <f t="shared" si="4"/>
        <v>0</v>
      </c>
      <c r="E61" s="12"/>
    </row>
    <row r="62" spans="1:5" ht="27.75" customHeight="1" x14ac:dyDescent="0.25">
      <c r="A62" s="2">
        <v>47</v>
      </c>
      <c r="B62" s="3" t="s">
        <v>539</v>
      </c>
      <c r="C62" s="11"/>
      <c r="D62" s="2">
        <f t="shared" si="4"/>
        <v>0</v>
      </c>
      <c r="E62" s="12"/>
    </row>
    <row r="63" spans="1:5" ht="27.75" customHeight="1" x14ac:dyDescent="0.25">
      <c r="A63" s="2">
        <v>48</v>
      </c>
      <c r="B63" s="3" t="s">
        <v>540</v>
      </c>
      <c r="C63" s="11"/>
      <c r="D63" s="2">
        <f t="shared" si="4"/>
        <v>0</v>
      </c>
      <c r="E63" s="12"/>
    </row>
    <row r="64" spans="1:5" ht="27.75" customHeight="1" x14ac:dyDescent="0.25">
      <c r="A64" s="2">
        <v>49</v>
      </c>
      <c r="B64" s="3" t="s">
        <v>541</v>
      </c>
      <c r="C64" s="11"/>
      <c r="D64" s="2">
        <f t="shared" si="4"/>
        <v>0</v>
      </c>
      <c r="E64" s="12"/>
    </row>
    <row r="65" spans="1:5" ht="27.75" customHeight="1" x14ac:dyDescent="0.25">
      <c r="A65" s="2">
        <v>50</v>
      </c>
      <c r="B65" s="3" t="s">
        <v>542</v>
      </c>
      <c r="C65" s="11"/>
      <c r="D65" s="2">
        <f t="shared" si="4"/>
        <v>0</v>
      </c>
      <c r="E65" s="12"/>
    </row>
    <row r="66" spans="1:5" x14ac:dyDescent="0.25">
      <c r="A66" s="38" t="s">
        <v>185</v>
      </c>
      <c r="B66" s="38"/>
      <c r="C66" s="38"/>
      <c r="D66" s="15">
        <f>SUM(D56:D65)</f>
        <v>0</v>
      </c>
      <c r="E66" s="16"/>
    </row>
    <row r="67" spans="1:5" x14ac:dyDescent="0.25">
      <c r="A67" s="39" t="s">
        <v>186</v>
      </c>
      <c r="B67" s="39"/>
      <c r="C67" s="39"/>
      <c r="D67" s="17">
        <f>D18+D30+D42+D54+D66</f>
        <v>0</v>
      </c>
      <c r="E67" s="10"/>
    </row>
    <row r="68" spans="1:5" x14ac:dyDescent="0.25">
      <c r="A68" s="40" t="s">
        <v>187</v>
      </c>
      <c r="B68" s="40"/>
      <c r="C68" s="40"/>
      <c r="D68" s="18">
        <f>D67/100</f>
        <v>0</v>
      </c>
      <c r="E68" s="19"/>
    </row>
    <row r="69" spans="1:5" x14ac:dyDescent="0.25">
      <c r="A69" s="40" t="s">
        <v>188</v>
      </c>
      <c r="B69" s="40"/>
      <c r="C69" s="40"/>
      <c r="D69" s="21" t="str">
        <f>IF(D68&gt;=0.9,"Outstanding",IF(D68&gt;=0.75,"On Track",IF(D68&gt;=0.6,"Improving","Needs Support")))</f>
        <v>Needs Support</v>
      </c>
      <c r="E69" s="19"/>
    </row>
    <row r="71" spans="1:5" x14ac:dyDescent="0.25">
      <c r="A71" s="36" t="s">
        <v>189</v>
      </c>
      <c r="B71" s="36"/>
      <c r="C71" s="36"/>
      <c r="D71" s="36"/>
      <c r="E71" s="36"/>
    </row>
    <row r="73" spans="1:5" x14ac:dyDescent="0.25">
      <c r="B73" s="20" t="s">
        <v>190</v>
      </c>
      <c r="E73" s="20" t="s">
        <v>191</v>
      </c>
    </row>
    <row r="74" spans="1:5" x14ac:dyDescent="0.25">
      <c r="A74" s="22" t="s">
        <v>595</v>
      </c>
    </row>
  </sheetData>
  <mergeCells count="16">
    <mergeCell ref="A1:E1"/>
    <mergeCell ref="E2:E4"/>
    <mergeCell ref="A7:E7"/>
    <mergeCell ref="A18:C18"/>
    <mergeCell ref="A19:E19"/>
    <mergeCell ref="A30:C30"/>
    <mergeCell ref="A31:E31"/>
    <mergeCell ref="A42:C42"/>
    <mergeCell ref="A43:E43"/>
    <mergeCell ref="A54:C54"/>
    <mergeCell ref="A71:E71"/>
    <mergeCell ref="A55:E55"/>
    <mergeCell ref="A66:C66"/>
    <mergeCell ref="A67:C67"/>
    <mergeCell ref="A68:C68"/>
    <mergeCell ref="A69:C69"/>
  </mergeCells>
  <dataValidations count="1">
    <dataValidation type="list" allowBlank="1" showErrorMessage="1" errorTitle="Invalid entry" error="Please select Yes or No" sqref="C8:C17 C20:C29 C32:C41 C44:C53 C56:C65" xr:uid="{00000000-0002-0000-0B00-000000000000}">
      <formula1>"Yes,No"</formula1>
      <formula2>0</formula2>
    </dataValidation>
  </dataValidations>
  <pageMargins left="0.75" right="0.75" top="1" bottom="1" header="0.511811023622047" footer="0.511811023622047"/>
  <pageSetup fitToHeight="0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E74"/>
  <sheetViews>
    <sheetView showGridLines="0" zoomScaleNormal="100" workbookViewId="0">
      <selection activeCell="A74" sqref="A74"/>
    </sheetView>
  </sheetViews>
  <sheetFormatPr defaultColWidth="8.5703125" defaultRowHeight="15" x14ac:dyDescent="0.25"/>
  <cols>
    <col min="1" max="1" width="6" customWidth="1"/>
    <col min="2" max="2" width="68" customWidth="1"/>
    <col min="3" max="3" width="12" customWidth="1"/>
    <col min="4" max="4" width="9" customWidth="1"/>
    <col min="5" max="5" width="32" customWidth="1"/>
  </cols>
  <sheetData>
    <row r="1" spans="1:5" ht="25.5" customHeight="1" x14ac:dyDescent="0.25">
      <c r="A1" s="29" t="s">
        <v>543</v>
      </c>
      <c r="B1" s="29"/>
      <c r="C1" s="29"/>
      <c r="D1" s="29"/>
      <c r="E1" s="29"/>
    </row>
    <row r="2" spans="1:5" ht="15" customHeight="1" x14ac:dyDescent="0.25">
      <c r="A2" s="14" t="s">
        <v>120</v>
      </c>
      <c r="B2" s="13"/>
      <c r="C2" s="14" t="s">
        <v>121</v>
      </c>
      <c r="D2" s="13"/>
      <c r="E2" s="41" t="s">
        <v>122</v>
      </c>
    </row>
    <row r="3" spans="1:5" x14ac:dyDescent="0.25">
      <c r="A3" s="14" t="s">
        <v>123</v>
      </c>
      <c r="B3" s="13" t="s">
        <v>99</v>
      </c>
      <c r="C3" s="14" t="s">
        <v>124</v>
      </c>
      <c r="D3" s="13"/>
      <c r="E3" s="41"/>
    </row>
    <row r="4" spans="1:5" x14ac:dyDescent="0.25">
      <c r="A4" s="14" t="s">
        <v>125</v>
      </c>
      <c r="B4" s="13"/>
      <c r="C4" s="14" t="s">
        <v>126</v>
      </c>
      <c r="D4" s="13"/>
      <c r="E4" s="41"/>
    </row>
    <row r="6" spans="1:5" ht="19.5" customHeight="1" x14ac:dyDescent="0.25">
      <c r="A6" s="1" t="s">
        <v>2</v>
      </c>
      <c r="B6" s="1" t="s">
        <v>109</v>
      </c>
      <c r="C6" s="1" t="s">
        <v>110</v>
      </c>
      <c r="D6" s="1" t="s">
        <v>111</v>
      </c>
      <c r="E6" s="1" t="s">
        <v>112</v>
      </c>
    </row>
    <row r="7" spans="1:5" x14ac:dyDescent="0.25">
      <c r="A7" s="37" t="s">
        <v>127</v>
      </c>
      <c r="B7" s="37"/>
      <c r="C7" s="37"/>
      <c r="D7" s="37"/>
      <c r="E7" s="37"/>
    </row>
    <row r="8" spans="1:5" ht="27.75" customHeight="1" x14ac:dyDescent="0.25">
      <c r="A8" s="2">
        <v>1</v>
      </c>
      <c r="B8" s="3" t="s">
        <v>544</v>
      </c>
      <c r="C8" s="11"/>
      <c r="D8" s="2">
        <f t="shared" ref="D8:D17" si="0">IF(C8="Yes",2,0)</f>
        <v>0</v>
      </c>
      <c r="E8" s="12"/>
    </row>
    <row r="9" spans="1:5" ht="27.75" customHeight="1" x14ac:dyDescent="0.25">
      <c r="A9" s="2">
        <v>2</v>
      </c>
      <c r="B9" s="3" t="s">
        <v>545</v>
      </c>
      <c r="C9" s="11"/>
      <c r="D9" s="2">
        <f t="shared" si="0"/>
        <v>0</v>
      </c>
      <c r="E9" s="12"/>
    </row>
    <row r="10" spans="1:5" ht="27.75" customHeight="1" x14ac:dyDescent="0.25">
      <c r="A10" s="2">
        <v>3</v>
      </c>
      <c r="B10" s="3" t="s">
        <v>546</v>
      </c>
      <c r="C10" s="11"/>
      <c r="D10" s="2">
        <f t="shared" si="0"/>
        <v>0</v>
      </c>
      <c r="E10" s="12"/>
    </row>
    <row r="11" spans="1:5" ht="27.75" customHeight="1" x14ac:dyDescent="0.25">
      <c r="A11" s="2">
        <v>4</v>
      </c>
      <c r="B11" s="3" t="s">
        <v>547</v>
      </c>
      <c r="C11" s="11"/>
      <c r="D11" s="2">
        <f t="shared" si="0"/>
        <v>0</v>
      </c>
      <c r="E11" s="12"/>
    </row>
    <row r="12" spans="1:5" ht="27.75" customHeight="1" x14ac:dyDescent="0.25">
      <c r="A12" s="2">
        <v>5</v>
      </c>
      <c r="B12" s="3" t="s">
        <v>548</v>
      </c>
      <c r="C12" s="11"/>
      <c r="D12" s="2">
        <f t="shared" si="0"/>
        <v>0</v>
      </c>
      <c r="E12" s="12"/>
    </row>
    <row r="13" spans="1:5" ht="27.75" customHeight="1" x14ac:dyDescent="0.25">
      <c r="A13" s="2">
        <v>6</v>
      </c>
      <c r="B13" s="3" t="s">
        <v>549</v>
      </c>
      <c r="C13" s="11"/>
      <c r="D13" s="2">
        <f t="shared" si="0"/>
        <v>0</v>
      </c>
      <c r="E13" s="12"/>
    </row>
    <row r="14" spans="1:5" ht="27.75" customHeight="1" x14ac:dyDescent="0.25">
      <c r="A14" s="2">
        <v>7</v>
      </c>
      <c r="B14" s="3" t="s">
        <v>550</v>
      </c>
      <c r="C14" s="11"/>
      <c r="D14" s="2">
        <f t="shared" si="0"/>
        <v>0</v>
      </c>
      <c r="E14" s="12"/>
    </row>
    <row r="15" spans="1:5" ht="27.75" customHeight="1" x14ac:dyDescent="0.25">
      <c r="A15" s="2">
        <v>8</v>
      </c>
      <c r="B15" s="3" t="s">
        <v>551</v>
      </c>
      <c r="C15" s="11"/>
      <c r="D15" s="2">
        <f t="shared" si="0"/>
        <v>0</v>
      </c>
      <c r="E15" s="12"/>
    </row>
    <row r="16" spans="1:5" ht="27.75" customHeight="1" x14ac:dyDescent="0.25">
      <c r="A16" s="2">
        <v>9</v>
      </c>
      <c r="B16" s="3" t="s">
        <v>552</v>
      </c>
      <c r="C16" s="11"/>
      <c r="D16" s="2">
        <f t="shared" si="0"/>
        <v>0</v>
      </c>
      <c r="E16" s="12"/>
    </row>
    <row r="17" spans="1:5" ht="27.75" customHeight="1" x14ac:dyDescent="0.25">
      <c r="A17" s="2">
        <v>10</v>
      </c>
      <c r="B17" s="3" t="s">
        <v>553</v>
      </c>
      <c r="C17" s="11"/>
      <c r="D17" s="2">
        <f t="shared" si="0"/>
        <v>0</v>
      </c>
      <c r="E17" s="12"/>
    </row>
    <row r="18" spans="1:5" x14ac:dyDescent="0.25">
      <c r="A18" s="38" t="s">
        <v>137</v>
      </c>
      <c r="B18" s="38"/>
      <c r="C18" s="38"/>
      <c r="D18" s="15">
        <f>SUM(D8:D17)</f>
        <v>0</v>
      </c>
      <c r="E18" s="16"/>
    </row>
    <row r="19" spans="1:5" x14ac:dyDescent="0.25">
      <c r="A19" s="37" t="s">
        <v>138</v>
      </c>
      <c r="B19" s="37"/>
      <c r="C19" s="37"/>
      <c r="D19" s="37"/>
      <c r="E19" s="37"/>
    </row>
    <row r="20" spans="1:5" ht="27.75" customHeight="1" x14ac:dyDescent="0.25">
      <c r="A20" s="2">
        <v>11</v>
      </c>
      <c r="B20" s="3" t="s">
        <v>554</v>
      </c>
      <c r="C20" s="11"/>
      <c r="D20" s="2">
        <f t="shared" ref="D20:D29" si="1">IF(C20="Yes",2,0)</f>
        <v>0</v>
      </c>
      <c r="E20" s="12"/>
    </row>
    <row r="21" spans="1:5" ht="27.75" customHeight="1" x14ac:dyDescent="0.25">
      <c r="A21" s="2">
        <v>12</v>
      </c>
      <c r="B21" s="3" t="s">
        <v>555</v>
      </c>
      <c r="C21" s="11"/>
      <c r="D21" s="2">
        <f t="shared" si="1"/>
        <v>0</v>
      </c>
      <c r="E21" s="12"/>
    </row>
    <row r="22" spans="1:5" ht="27.75" customHeight="1" x14ac:dyDescent="0.25">
      <c r="A22" s="2">
        <v>13</v>
      </c>
      <c r="B22" s="3" t="s">
        <v>556</v>
      </c>
      <c r="C22" s="11"/>
      <c r="D22" s="2">
        <f t="shared" si="1"/>
        <v>0</v>
      </c>
      <c r="E22" s="12"/>
    </row>
    <row r="23" spans="1:5" ht="27.75" customHeight="1" x14ac:dyDescent="0.25">
      <c r="A23" s="2">
        <v>14</v>
      </c>
      <c r="B23" s="3" t="s">
        <v>557</v>
      </c>
      <c r="C23" s="11"/>
      <c r="D23" s="2">
        <f t="shared" si="1"/>
        <v>0</v>
      </c>
      <c r="E23" s="12"/>
    </row>
    <row r="24" spans="1:5" ht="27.75" customHeight="1" x14ac:dyDescent="0.25">
      <c r="A24" s="2">
        <v>15</v>
      </c>
      <c r="B24" s="3" t="s">
        <v>558</v>
      </c>
      <c r="C24" s="11"/>
      <c r="D24" s="2">
        <f t="shared" si="1"/>
        <v>0</v>
      </c>
      <c r="E24" s="12"/>
    </row>
    <row r="25" spans="1:5" ht="27.75" customHeight="1" x14ac:dyDescent="0.25">
      <c r="A25" s="2">
        <v>16</v>
      </c>
      <c r="B25" s="3" t="s">
        <v>559</v>
      </c>
      <c r="C25" s="11"/>
      <c r="D25" s="2">
        <f t="shared" si="1"/>
        <v>0</v>
      </c>
      <c r="E25" s="12"/>
    </row>
    <row r="26" spans="1:5" ht="27.75" customHeight="1" x14ac:dyDescent="0.25">
      <c r="A26" s="2">
        <v>17</v>
      </c>
      <c r="B26" s="3" t="s">
        <v>560</v>
      </c>
      <c r="C26" s="11"/>
      <c r="D26" s="2">
        <f t="shared" si="1"/>
        <v>0</v>
      </c>
      <c r="E26" s="12"/>
    </row>
    <row r="27" spans="1:5" ht="27.75" customHeight="1" x14ac:dyDescent="0.25">
      <c r="A27" s="2">
        <v>18</v>
      </c>
      <c r="B27" s="3" t="s">
        <v>561</v>
      </c>
      <c r="C27" s="11"/>
      <c r="D27" s="2">
        <f t="shared" si="1"/>
        <v>0</v>
      </c>
      <c r="E27" s="12"/>
    </row>
    <row r="28" spans="1:5" ht="27.75" customHeight="1" x14ac:dyDescent="0.25">
      <c r="A28" s="2">
        <v>19</v>
      </c>
      <c r="B28" s="3" t="s">
        <v>562</v>
      </c>
      <c r="C28" s="11"/>
      <c r="D28" s="2">
        <f t="shared" si="1"/>
        <v>0</v>
      </c>
      <c r="E28" s="12"/>
    </row>
    <row r="29" spans="1:5" ht="27.75" customHeight="1" x14ac:dyDescent="0.25">
      <c r="A29" s="2">
        <v>20</v>
      </c>
      <c r="B29" s="3" t="s">
        <v>563</v>
      </c>
      <c r="C29" s="11"/>
      <c r="D29" s="2">
        <f t="shared" si="1"/>
        <v>0</v>
      </c>
      <c r="E29" s="12"/>
    </row>
    <row r="30" spans="1:5" x14ac:dyDescent="0.25">
      <c r="A30" s="38" t="s">
        <v>149</v>
      </c>
      <c r="B30" s="38"/>
      <c r="C30" s="38"/>
      <c r="D30" s="15">
        <f>SUM(D20:D29)</f>
        <v>0</v>
      </c>
      <c r="E30" s="16"/>
    </row>
    <row r="31" spans="1:5" x14ac:dyDescent="0.25">
      <c r="A31" s="37" t="s">
        <v>150</v>
      </c>
      <c r="B31" s="37"/>
      <c r="C31" s="37"/>
      <c r="D31" s="37"/>
      <c r="E31" s="37"/>
    </row>
    <row r="32" spans="1:5" ht="27.75" customHeight="1" x14ac:dyDescent="0.25">
      <c r="A32" s="2">
        <v>21</v>
      </c>
      <c r="B32" s="3" t="s">
        <v>564</v>
      </c>
      <c r="C32" s="11"/>
      <c r="D32" s="2">
        <f t="shared" ref="D32:D41" si="2">IF(C32="Yes",2,0)</f>
        <v>0</v>
      </c>
      <c r="E32" s="12"/>
    </row>
    <row r="33" spans="1:5" ht="27.75" customHeight="1" x14ac:dyDescent="0.25">
      <c r="A33" s="2">
        <v>22</v>
      </c>
      <c r="B33" s="3" t="s">
        <v>565</v>
      </c>
      <c r="C33" s="11"/>
      <c r="D33" s="2">
        <f t="shared" si="2"/>
        <v>0</v>
      </c>
      <c r="E33" s="12"/>
    </row>
    <row r="34" spans="1:5" ht="27.75" customHeight="1" x14ac:dyDescent="0.25">
      <c r="A34" s="2">
        <v>23</v>
      </c>
      <c r="B34" s="3" t="s">
        <v>566</v>
      </c>
      <c r="C34" s="11"/>
      <c r="D34" s="2">
        <f t="shared" si="2"/>
        <v>0</v>
      </c>
      <c r="E34" s="12"/>
    </row>
    <row r="35" spans="1:5" ht="27.75" customHeight="1" x14ac:dyDescent="0.25">
      <c r="A35" s="2">
        <v>24</v>
      </c>
      <c r="B35" s="3" t="s">
        <v>567</v>
      </c>
      <c r="C35" s="11"/>
      <c r="D35" s="2">
        <f t="shared" si="2"/>
        <v>0</v>
      </c>
      <c r="E35" s="12"/>
    </row>
    <row r="36" spans="1:5" ht="27.75" customHeight="1" x14ac:dyDescent="0.25">
      <c r="A36" s="2">
        <v>25</v>
      </c>
      <c r="B36" s="3" t="s">
        <v>568</v>
      </c>
      <c r="C36" s="11"/>
      <c r="D36" s="2">
        <f t="shared" si="2"/>
        <v>0</v>
      </c>
      <c r="E36" s="12"/>
    </row>
    <row r="37" spans="1:5" ht="27.75" customHeight="1" x14ac:dyDescent="0.25">
      <c r="A37" s="2">
        <v>26</v>
      </c>
      <c r="B37" s="3" t="s">
        <v>569</v>
      </c>
      <c r="C37" s="11"/>
      <c r="D37" s="2">
        <f t="shared" si="2"/>
        <v>0</v>
      </c>
      <c r="E37" s="12"/>
    </row>
    <row r="38" spans="1:5" ht="27.75" customHeight="1" x14ac:dyDescent="0.25">
      <c r="A38" s="2">
        <v>27</v>
      </c>
      <c r="B38" s="3" t="s">
        <v>570</v>
      </c>
      <c r="C38" s="11"/>
      <c r="D38" s="2">
        <f t="shared" si="2"/>
        <v>0</v>
      </c>
      <c r="E38" s="12"/>
    </row>
    <row r="39" spans="1:5" ht="27.75" customHeight="1" x14ac:dyDescent="0.25">
      <c r="A39" s="2">
        <v>28</v>
      </c>
      <c r="B39" s="3" t="s">
        <v>571</v>
      </c>
      <c r="C39" s="11"/>
      <c r="D39" s="2">
        <f t="shared" si="2"/>
        <v>0</v>
      </c>
      <c r="E39" s="12"/>
    </row>
    <row r="40" spans="1:5" ht="27.75" customHeight="1" x14ac:dyDescent="0.25">
      <c r="A40" s="2">
        <v>29</v>
      </c>
      <c r="B40" s="3" t="s">
        <v>572</v>
      </c>
      <c r="C40" s="11"/>
      <c r="D40" s="2">
        <f t="shared" si="2"/>
        <v>0</v>
      </c>
      <c r="E40" s="12"/>
    </row>
    <row r="41" spans="1:5" ht="27.75" customHeight="1" x14ac:dyDescent="0.25">
      <c r="A41" s="2">
        <v>30</v>
      </c>
      <c r="B41" s="3" t="s">
        <v>573</v>
      </c>
      <c r="C41" s="11"/>
      <c r="D41" s="2">
        <f t="shared" si="2"/>
        <v>0</v>
      </c>
      <c r="E41" s="12"/>
    </row>
    <row r="42" spans="1:5" x14ac:dyDescent="0.25">
      <c r="A42" s="38" t="s">
        <v>161</v>
      </c>
      <c r="B42" s="38"/>
      <c r="C42" s="38"/>
      <c r="D42" s="15">
        <f>SUM(D32:D41)</f>
        <v>0</v>
      </c>
      <c r="E42" s="16"/>
    </row>
    <row r="43" spans="1:5" x14ac:dyDescent="0.25">
      <c r="A43" s="37" t="s">
        <v>162</v>
      </c>
      <c r="B43" s="37"/>
      <c r="C43" s="37"/>
      <c r="D43" s="37"/>
      <c r="E43" s="37"/>
    </row>
    <row r="44" spans="1:5" ht="27.75" customHeight="1" x14ac:dyDescent="0.25">
      <c r="A44" s="2">
        <v>31</v>
      </c>
      <c r="B44" s="3" t="s">
        <v>574</v>
      </c>
      <c r="C44" s="11"/>
      <c r="D44" s="2">
        <f t="shared" ref="D44:D53" si="3">IF(C44="Yes",2,0)</f>
        <v>0</v>
      </c>
      <c r="E44" s="12"/>
    </row>
    <row r="45" spans="1:5" ht="27.75" customHeight="1" x14ac:dyDescent="0.25">
      <c r="A45" s="2">
        <v>32</v>
      </c>
      <c r="B45" s="3" t="s">
        <v>575</v>
      </c>
      <c r="C45" s="11"/>
      <c r="D45" s="2">
        <f t="shared" si="3"/>
        <v>0</v>
      </c>
      <c r="E45" s="12"/>
    </row>
    <row r="46" spans="1:5" ht="27.75" customHeight="1" x14ac:dyDescent="0.25">
      <c r="A46" s="2">
        <v>33</v>
      </c>
      <c r="B46" s="3" t="s">
        <v>576</v>
      </c>
      <c r="C46" s="11"/>
      <c r="D46" s="2">
        <f t="shared" si="3"/>
        <v>0</v>
      </c>
      <c r="E46" s="12"/>
    </row>
    <row r="47" spans="1:5" ht="27.75" customHeight="1" x14ac:dyDescent="0.25">
      <c r="A47" s="2">
        <v>34</v>
      </c>
      <c r="B47" s="3" t="s">
        <v>577</v>
      </c>
      <c r="C47" s="11"/>
      <c r="D47" s="2">
        <f t="shared" si="3"/>
        <v>0</v>
      </c>
      <c r="E47" s="12"/>
    </row>
    <row r="48" spans="1:5" ht="27.75" customHeight="1" x14ac:dyDescent="0.25">
      <c r="A48" s="2">
        <v>35</v>
      </c>
      <c r="B48" s="3" t="s">
        <v>578</v>
      </c>
      <c r="C48" s="11"/>
      <c r="D48" s="2">
        <f t="shared" si="3"/>
        <v>0</v>
      </c>
      <c r="E48" s="12"/>
    </row>
    <row r="49" spans="1:5" ht="27.75" customHeight="1" x14ac:dyDescent="0.25">
      <c r="A49" s="2">
        <v>36</v>
      </c>
      <c r="B49" s="3" t="s">
        <v>579</v>
      </c>
      <c r="C49" s="11"/>
      <c r="D49" s="2">
        <f t="shared" si="3"/>
        <v>0</v>
      </c>
      <c r="E49" s="12"/>
    </row>
    <row r="50" spans="1:5" ht="27.75" customHeight="1" x14ac:dyDescent="0.25">
      <c r="A50" s="2">
        <v>37</v>
      </c>
      <c r="B50" s="3" t="s">
        <v>580</v>
      </c>
      <c r="C50" s="11"/>
      <c r="D50" s="2">
        <f t="shared" si="3"/>
        <v>0</v>
      </c>
      <c r="E50" s="12"/>
    </row>
    <row r="51" spans="1:5" ht="27.75" customHeight="1" x14ac:dyDescent="0.25">
      <c r="A51" s="2">
        <v>38</v>
      </c>
      <c r="B51" s="3" t="s">
        <v>581</v>
      </c>
      <c r="C51" s="11"/>
      <c r="D51" s="2">
        <f t="shared" si="3"/>
        <v>0</v>
      </c>
      <c r="E51" s="12"/>
    </row>
    <row r="52" spans="1:5" ht="27.75" customHeight="1" x14ac:dyDescent="0.25">
      <c r="A52" s="2">
        <v>39</v>
      </c>
      <c r="B52" s="3" t="s">
        <v>582</v>
      </c>
      <c r="C52" s="11"/>
      <c r="D52" s="2">
        <f t="shared" si="3"/>
        <v>0</v>
      </c>
      <c r="E52" s="12"/>
    </row>
    <row r="53" spans="1:5" ht="27.75" customHeight="1" x14ac:dyDescent="0.25">
      <c r="A53" s="2">
        <v>40</v>
      </c>
      <c r="B53" s="3" t="s">
        <v>583</v>
      </c>
      <c r="C53" s="11"/>
      <c r="D53" s="2">
        <f t="shared" si="3"/>
        <v>0</v>
      </c>
      <c r="E53" s="12"/>
    </row>
    <row r="54" spans="1:5" x14ac:dyDescent="0.25">
      <c r="A54" s="38" t="s">
        <v>173</v>
      </c>
      <c r="B54" s="38"/>
      <c r="C54" s="38"/>
      <c r="D54" s="15">
        <f>SUM(D44:D53)</f>
        <v>0</v>
      </c>
      <c r="E54" s="16"/>
    </row>
    <row r="55" spans="1:5" x14ac:dyDescent="0.25">
      <c r="A55" s="37" t="s">
        <v>174</v>
      </c>
      <c r="B55" s="37"/>
      <c r="C55" s="37"/>
      <c r="D55" s="37"/>
      <c r="E55" s="37"/>
    </row>
    <row r="56" spans="1:5" ht="27.75" customHeight="1" x14ac:dyDescent="0.25">
      <c r="A56" s="2">
        <v>41</v>
      </c>
      <c r="B56" s="3" t="s">
        <v>584</v>
      </c>
      <c r="C56" s="11"/>
      <c r="D56" s="2">
        <f t="shared" ref="D56:D65" si="4">IF(C56="Yes",2,0)</f>
        <v>0</v>
      </c>
      <c r="E56" s="12"/>
    </row>
    <row r="57" spans="1:5" ht="27.75" customHeight="1" x14ac:dyDescent="0.25">
      <c r="A57" s="2">
        <v>42</v>
      </c>
      <c r="B57" s="3" t="s">
        <v>585</v>
      </c>
      <c r="C57" s="11"/>
      <c r="D57" s="2">
        <f t="shared" si="4"/>
        <v>0</v>
      </c>
      <c r="E57" s="12"/>
    </row>
    <row r="58" spans="1:5" ht="27.75" customHeight="1" x14ac:dyDescent="0.25">
      <c r="A58" s="2">
        <v>43</v>
      </c>
      <c r="B58" s="3" t="s">
        <v>586</v>
      </c>
      <c r="C58" s="11"/>
      <c r="D58" s="2">
        <f t="shared" si="4"/>
        <v>0</v>
      </c>
      <c r="E58" s="12"/>
    </row>
    <row r="59" spans="1:5" ht="27.75" customHeight="1" x14ac:dyDescent="0.25">
      <c r="A59" s="2">
        <v>44</v>
      </c>
      <c r="B59" s="3" t="s">
        <v>287</v>
      </c>
      <c r="C59" s="11"/>
      <c r="D59" s="2">
        <f t="shared" si="4"/>
        <v>0</v>
      </c>
      <c r="E59" s="12"/>
    </row>
    <row r="60" spans="1:5" ht="27.75" customHeight="1" x14ac:dyDescent="0.25">
      <c r="A60" s="2">
        <v>45</v>
      </c>
      <c r="B60" s="3" t="s">
        <v>587</v>
      </c>
      <c r="C60" s="11"/>
      <c r="D60" s="2">
        <f t="shared" si="4"/>
        <v>0</v>
      </c>
      <c r="E60" s="12"/>
    </row>
    <row r="61" spans="1:5" ht="27.75" customHeight="1" x14ac:dyDescent="0.25">
      <c r="A61" s="2">
        <v>46</v>
      </c>
      <c r="B61" s="3" t="s">
        <v>588</v>
      </c>
      <c r="C61" s="11"/>
      <c r="D61" s="2">
        <f t="shared" si="4"/>
        <v>0</v>
      </c>
      <c r="E61" s="12"/>
    </row>
    <row r="62" spans="1:5" ht="27.75" customHeight="1" x14ac:dyDescent="0.25">
      <c r="A62" s="2">
        <v>47</v>
      </c>
      <c r="B62" s="3" t="s">
        <v>589</v>
      </c>
      <c r="C62" s="11"/>
      <c r="D62" s="2">
        <f t="shared" si="4"/>
        <v>0</v>
      </c>
      <c r="E62" s="12"/>
    </row>
    <row r="63" spans="1:5" ht="27.75" customHeight="1" x14ac:dyDescent="0.25">
      <c r="A63" s="2">
        <v>48</v>
      </c>
      <c r="B63" s="3" t="s">
        <v>590</v>
      </c>
      <c r="C63" s="11"/>
      <c r="D63" s="2">
        <f t="shared" si="4"/>
        <v>0</v>
      </c>
      <c r="E63" s="12"/>
    </row>
    <row r="64" spans="1:5" ht="27.75" customHeight="1" x14ac:dyDescent="0.25">
      <c r="A64" s="2">
        <v>49</v>
      </c>
      <c r="B64" s="3" t="s">
        <v>591</v>
      </c>
      <c r="C64" s="11"/>
      <c r="D64" s="2">
        <f t="shared" si="4"/>
        <v>0</v>
      </c>
      <c r="E64" s="12"/>
    </row>
    <row r="65" spans="1:5" ht="27.75" customHeight="1" x14ac:dyDescent="0.25">
      <c r="A65" s="2">
        <v>50</v>
      </c>
      <c r="B65" s="3" t="s">
        <v>592</v>
      </c>
      <c r="C65" s="11"/>
      <c r="D65" s="2">
        <f t="shared" si="4"/>
        <v>0</v>
      </c>
      <c r="E65" s="12"/>
    </row>
    <row r="66" spans="1:5" x14ac:dyDescent="0.25">
      <c r="A66" s="38" t="s">
        <v>185</v>
      </c>
      <c r="B66" s="38"/>
      <c r="C66" s="38"/>
      <c r="D66" s="15">
        <f>SUM(D56:D65)</f>
        <v>0</v>
      </c>
      <c r="E66" s="16"/>
    </row>
    <row r="67" spans="1:5" x14ac:dyDescent="0.25">
      <c r="A67" s="39" t="s">
        <v>186</v>
      </c>
      <c r="B67" s="39"/>
      <c r="C67" s="39"/>
      <c r="D67" s="17">
        <f>D18+D30+D42+D54+D66</f>
        <v>0</v>
      </c>
      <c r="E67" s="10"/>
    </row>
    <row r="68" spans="1:5" x14ac:dyDescent="0.25">
      <c r="A68" s="40" t="s">
        <v>187</v>
      </c>
      <c r="B68" s="40"/>
      <c r="C68" s="40"/>
      <c r="D68" s="18">
        <f>D67/100</f>
        <v>0</v>
      </c>
      <c r="E68" s="19"/>
    </row>
    <row r="69" spans="1:5" x14ac:dyDescent="0.25">
      <c r="A69" s="40" t="s">
        <v>188</v>
      </c>
      <c r="B69" s="40"/>
      <c r="C69" s="40"/>
      <c r="D69" s="21" t="str">
        <f>IF(D68&gt;=0.9,"Outstanding",IF(D68&gt;=0.75,"On Track",IF(D68&gt;=0.6,"Improving","Needs Support")))</f>
        <v>Needs Support</v>
      </c>
      <c r="E69" s="19"/>
    </row>
    <row r="71" spans="1:5" x14ac:dyDescent="0.25">
      <c r="A71" s="36" t="s">
        <v>189</v>
      </c>
      <c r="B71" s="36"/>
      <c r="C71" s="36"/>
      <c r="D71" s="36"/>
      <c r="E71" s="36"/>
    </row>
    <row r="73" spans="1:5" x14ac:dyDescent="0.25">
      <c r="B73" s="20" t="s">
        <v>190</v>
      </c>
      <c r="E73" s="20" t="s">
        <v>191</v>
      </c>
    </row>
    <row r="74" spans="1:5" x14ac:dyDescent="0.25">
      <c r="A74" s="22" t="s">
        <v>595</v>
      </c>
    </row>
  </sheetData>
  <mergeCells count="16">
    <mergeCell ref="A1:E1"/>
    <mergeCell ref="E2:E4"/>
    <mergeCell ref="A7:E7"/>
    <mergeCell ref="A18:C18"/>
    <mergeCell ref="A19:E19"/>
    <mergeCell ref="A30:C30"/>
    <mergeCell ref="A31:E31"/>
    <mergeCell ref="A42:C42"/>
    <mergeCell ref="A43:E43"/>
    <mergeCell ref="A54:C54"/>
    <mergeCell ref="A71:E71"/>
    <mergeCell ref="A55:E55"/>
    <mergeCell ref="A66:C66"/>
    <mergeCell ref="A67:C67"/>
    <mergeCell ref="A68:C68"/>
    <mergeCell ref="A69:C69"/>
  </mergeCells>
  <dataValidations count="1">
    <dataValidation type="list" allowBlank="1" showErrorMessage="1" errorTitle="Invalid entry" error="Please select Yes or No" sqref="C8:C17 C20:C29 C32:C41 C44:C53 C56:C65" xr:uid="{00000000-0002-0000-0C00-000000000000}">
      <formula1>"Yes,No"</formula1>
      <formula2>0</formula2>
    </dataValidation>
  </dataValidations>
  <pageMargins left="0.75" right="0.75" top="1" bottom="1" header="0.511811023622047" footer="0.511811023622047"/>
  <pageSetup fitToHeight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9</vt:i4>
      </vt:variant>
    </vt:vector>
  </HeadingPairs>
  <TitlesOfParts>
    <vt:vector size="21" baseType="lpstr">
      <vt:lpstr>5S Audit Team</vt:lpstr>
      <vt:lpstr>Audit Schedule</vt:lpstr>
      <vt:lpstr>Monthly Zone Scores</vt:lpstr>
      <vt:lpstr>Shop Floor</vt:lpstr>
      <vt:lpstr>Office</vt:lpstr>
      <vt:lpstr>Stores (RM)</vt:lpstr>
      <vt:lpstr>Production</vt:lpstr>
      <vt:lpstr>FG Stores</vt:lpstr>
      <vt:lpstr>Packing Area</vt:lpstr>
      <vt:lpstr>Boiler &amp; Utility</vt:lpstr>
      <vt:lpstr>Maintenance</vt:lpstr>
      <vt:lpstr>Premises</vt:lpstr>
      <vt:lpstr>'Boiler &amp; Utility'!Print_Area</vt:lpstr>
      <vt:lpstr>'FG Stores'!Print_Area</vt:lpstr>
      <vt:lpstr>Maintenance!Print_Area</vt:lpstr>
      <vt:lpstr>Office!Print_Area</vt:lpstr>
      <vt:lpstr>'Packing Area'!Print_Area</vt:lpstr>
      <vt:lpstr>Premises!Print_Area</vt:lpstr>
      <vt:lpstr>Production!Print_Area</vt:lpstr>
      <vt:lpstr>'Shop Floor'!Print_Area</vt:lpstr>
      <vt:lpstr>'Stores (RM)'!Print_Area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Dell</cp:lastModifiedBy>
  <cp:revision>0</cp:revision>
  <dcterms:created xsi:type="dcterms:W3CDTF">2026-08-06T08:19:08Z</dcterms:created>
  <dcterms:modified xsi:type="dcterms:W3CDTF">2026-09-07T09:07:14Z</dcterms:modified>
  <dc:language>en-US</dc:language>
</cp:coreProperties>
</file>